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3.xml" ContentType="application/vnd.openxmlformats-officedocument.spreadsheetml.worksheet+xml"/>
  <Override PartName="/xl/tables/table1.xml" ContentType="application/vnd.openxmlformats-officedocument.spreadsheetml.table+xml"/>
  <Override PartName="/xl/worksheets/sheet14.xml" ContentType="application/vnd.openxmlformats-officedocument.spreadsheetml.worksheet+xml"/>
  <Override PartName="/xl/tables/table2.xml" ContentType="application/vnd.openxmlformats-officedocument.spreadsheetml.table+xml"/>
  <Override PartName="/xl/worksheets/sheet15.xml" ContentType="application/vnd.openxmlformats-officedocument.spreadsheetml.worksheet+xml"/>
  <Override PartName="/xl/tables/table3.xml" ContentType="application/vnd.openxmlformats-officedocument.spreadsheetml.table+xml"/>
  <Override PartName="/xl/worksheets/sheet16.xml" ContentType="application/vnd.openxmlformats-officedocument.spreadsheetml.worksheet+xml"/>
  <Override PartName="/xl/tables/table4.xml" ContentType="application/vnd.openxmlformats-officedocument.spreadsheetml.table+xml"/>
  <Override PartName="/xl/worksheets/sheet17.xml" ContentType="application/vnd.openxmlformats-officedocument.spreadsheetml.worksheet+xml"/>
  <Override PartName="/xl/tables/table5.xml" ContentType="application/vnd.openxmlformats-officedocument.spreadsheetml.table+xml"/>
  <Override PartName="/xl/worksheets/sheet18.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1eeac3f3a8e4b18" /></Relationships>
</file>

<file path=xl/workbook.xml><?xml version="1.0" encoding="utf-8"?>
<x:workbook xmlns:x="http://schemas.openxmlformats.org/spreadsheetml/2006/main">
  <x:sheets>
    <x:sheet xmlns:r="http://schemas.openxmlformats.org/officeDocument/2006/relationships" name="READ ME" sheetId="1" r:id="Rb81fee4397cd4a22"/>
    <x:sheet xmlns:r="http://schemas.openxmlformats.org/officeDocument/2006/relationships" name="Ingredient Master" sheetId="2" r:id="Rb4760802808f4f2e"/>
    <x:sheet xmlns:r="http://schemas.openxmlformats.org/officeDocument/2006/relationships" name="Target Summary" sheetId="3" r:id="R0d3b71571f834fd9"/>
    <x:sheet xmlns:r="http://schemas.openxmlformats.org/officeDocument/2006/relationships" name="INVENTORY READ ME" sheetId="4" r:id="R30e8367285714975"/>
    <x:sheet xmlns:r="http://schemas.openxmlformats.org/officeDocument/2006/relationships" name="Current Inventory Master" sheetId="5" r:id="R70aedd9bffbe4318"/>
    <x:sheet xmlns:r="http://schemas.openxmlformats.org/officeDocument/2006/relationships" name="Original 207 Corrections" sheetId="6" r:id="Rcc047243a8374cc8"/>
    <x:sheet xmlns:r="http://schemas.openxmlformats.org/officeDocument/2006/relationships" name="Aliases and Non-Equivalents" sheetId="7" r:id="Rea1d4e89fe2046b3"/>
    <x:sheet xmlns:r="http://schemas.openxmlformats.org/officeDocument/2006/relationships" name="Formula Impact" sheetId="8" r:id="R6c2329b4a2d04d64"/>
    <x:sheet xmlns:r="http://schemas.openxmlformats.org/officeDocument/2006/relationships" name="PerfumersWorld Resolutions" sheetId="9" r:id="R65c8050dfdf34afa"/>
    <x:sheet xmlns:r="http://schemas.openxmlformats.org/officeDocument/2006/relationships" name="Constructible Accords" sheetId="10" r:id="R21bf3028ffd54831"/>
    <x:sheet xmlns:r="http://schemas.openxmlformats.org/officeDocument/2006/relationships" name="Aug 7 2026 Update Ledger" sheetId="11" r:id="R63aeb009165e4b3c"/>
    <x:sheet xmlns:r="http://schemas.openxmlformats.org/officeDocument/2006/relationships" name="Hedonic Priority Dashboard" sheetId="12" r:id="R8bc9910071a84828"/>
    <x:sheet xmlns:r="http://schemas.openxmlformats.org/officeDocument/2006/relationships" name="High-Hedonic Priority" sheetId="13" r:id="R241ef3b6f8a24f02"/>
    <x:sheet xmlns:r="http://schemas.openxmlformats.org/officeDocument/2006/relationships" name="Direct Portfolio Gaps" sheetId="14" r:id="R192fe1c8d9124e5b"/>
    <x:sheet xmlns:r="http://schemas.openxmlformats.org/officeDocument/2006/relationships" name="Architectural Expansions" sheetId="15" r:id="Raf04e086998e434a"/>
    <x:sheet xmlns:r="http://schemas.openxmlformats.org/officeDocument/2006/relationships" name="Planned and Prepare" sheetId="16" r:id="Rff6ccecd13f344aa"/>
    <x:sheet xmlns:r="http://schemas.openxmlformats.org/officeDocument/2006/relationships" name="Accord Coverage" sheetId="17" r:id="R2004f2c4716d467d"/>
    <x:sheet xmlns:r="http://schemas.openxmlformats.org/officeDocument/2006/relationships" name="Priority Rules" sheetId="18" r:id="R55845bafca2a4ce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
    <x:numFmt numFmtId="201" formatCode="0.000"/>
    <x:numFmt numFmtId="202" formatCode="0%"/>
  </x:numFmts>
  <x:fonts count="14">
    <x:font>
      <x:sz val="11"/>
      <x:name val="Carlito"/>
    </x:font>
    <x:font>
      <x:b/>
      <x:sz val="18"/>
      <x:color rgb="FFFFFFFF"/>
      <x:name val="Carlito"/>
    </x:font>
    <x:font>
      <x:sz val="10"/>
      <x:color rgb="FFFFFFFF"/>
      <x:name val="Carlito"/>
    </x:font>
    <x:font>
      <x:b/>
      <x:sz val="11"/>
      <x:color rgb="FF101316"/>
      <x:name val="Carlito"/>
    </x:font>
    <x:font>
      <x:b/>
      <x:sz val="11"/>
      <x:name val="Carlito"/>
    </x:font>
    <x:font>
      <x:b/>
      <x:sz val="9"/>
      <x:color rgb="FFFFFFFF"/>
      <x:name val="Carlito"/>
    </x:font>
    <x:font>
      <x:sz val="8"/>
      <x:color rgb="FF101316"/>
      <x:name val="Carlito"/>
    </x:font>
    <x:font>
      <x:b/>
      <x:sz val="9"/>
      <x:color rgb="FF101316"/>
      <x:name val="Carlito"/>
    </x:font>
    <x:font>
      <x:b/>
      <x:sz val="12"/>
      <x:color rgb="FF101316"/>
      <x:name val="Carlito"/>
    </x:font>
    <x:font>
      <x:sz val="9"/>
      <x:color rgb="FF101316"/>
      <x:name val="Carlito"/>
    </x:font>
    <x:font>
      <x:b/>
      <x:sz val="17"/>
      <x:color rgb="FFFFFFFF"/>
      <x:name val="Carlito"/>
    </x:font>
    <x:font>
      <x:sz val="9"/>
      <x:name val="Carlito"/>
    </x:font>
    <x:font>
      <x:b/>
      <x:sz val="11"/>
      <x:color rgb="FFFFFFFF"/>
      <x:name val="Carlito"/>
    </x:font>
    <x:font>
      <x:b/>
      <x:sz val="20"/>
      <x:color rgb="FFFFFFFF"/>
      <x:name val="Carlito"/>
    </x:font>
  </x:fonts>
  <x:fills count="26">
    <x:fill>
      <x:patternFill patternType="none"/>
    </x:fill>
    <x:fill>
      <x:patternFill patternType="gray125"/>
    </x:fill>
    <x:fill>
      <x:patternFill patternType="solid">
        <x:fgColor rgb="FF101316"/>
      </x:patternFill>
    </x:fill>
    <x:fill>
      <x:patternFill patternType="solid">
        <x:fgColor rgb="FF252B31"/>
      </x:patternFill>
    </x:fill>
    <x:fill>
      <x:patternFill patternType="solid">
        <x:fgColor rgb="FFD8DEE4"/>
      </x:patternFill>
    </x:fill>
    <x:fill>
      <x:patternFill patternType="solid">
        <x:fgColor rgb="FFEFEAE1"/>
      </x:patternFill>
    </x:fill>
    <x:fill>
      <x:patternFill patternType="solid">
        <x:fgColor rgb="FF1F5B62"/>
      </x:patternFill>
    </x:fill>
    <x:fill>
      <x:patternFill patternType="solid">
        <x:fgColor rgb="FF101316"/>
      </x:patternFill>
    </x:fill>
    <x:fill>
      <x:patternFill patternType="solid">
        <x:fgColor rgb="FF252B31"/>
      </x:patternFill>
    </x:fill>
    <x:fill>
      <x:patternFill patternType="solid">
        <x:fgColor rgb="FFD8DEE4"/>
      </x:patternFill>
    </x:fill>
    <x:fill>
      <x:patternFill patternType="solid">
        <x:fgColor rgb="FFEFEAE1"/>
      </x:patternFill>
    </x:fill>
    <x:fill>
      <x:patternFill patternType="solid">
        <x:fgColor rgb="FFF7F8F6"/>
      </x:patternFill>
    </x:fill>
    <x:fill>
      <x:patternFill patternType="solid">
        <x:fgColor rgb="FFC7A45D"/>
      </x:patternFill>
    </x:fill>
    <x:fill>
      <x:patternFill patternType="solid">
        <x:fgColor rgb="FF1F5B62"/>
      </x:patternFill>
    </x:fill>
    <x:fill>
      <x:patternFill patternType="solid">
        <x:fgColor rgb="FF101316"/>
      </x:patternFill>
    </x:fill>
    <x:fill>
      <x:patternFill patternType="solid">
        <x:fgColor rgb="FF252B31"/>
      </x:patternFill>
    </x:fill>
    <x:fill>
      <x:patternFill patternType="solid">
        <x:fgColor rgb="FF1F5B62"/>
      </x:patternFill>
    </x:fill>
    <x:fill>
      <x:patternFill patternType="solid">
        <x:fgColor rgb="FF101316"/>
      </x:patternFill>
    </x:fill>
    <x:fill>
      <x:patternFill patternType="solid">
        <x:fgColor rgb="FF252B31"/>
      </x:patternFill>
    </x:fill>
    <x:fill>
      <x:patternFill patternType="solid">
        <x:fgColor rgb="FF1F5B62"/>
      </x:patternFill>
    </x:fill>
    <x:fill>
      <x:patternFill patternType="solid">
        <x:fgColor rgb="FF173B4D"/>
      </x:patternFill>
    </x:fill>
    <x:fill>
      <x:patternFill patternType="solid">
        <x:fgColor rgb="FF8A3F2D"/>
      </x:patternFill>
    </x:fill>
    <x:fill>
      <x:patternFill patternType="solid">
        <x:fgColor rgb="FF8A3F2D"/>
      </x:patternFill>
    </x:fill>
    <x:fill>
      <x:patternFill patternType="solid">
        <x:fgColor rgb="FF173B4D"/>
      </x:patternFill>
    </x:fill>
    <x:fill>
      <x:patternFill patternType="solid">
        <x:fgColor rgb="FFC99A2E"/>
      </x:patternFill>
    </x:fill>
    <x:fill>
      <x:patternFill patternType="solid">
        <x:fgColor rgb="FFEEF3F5"/>
      </x:patternFill>
    </x:fill>
  </x:fills>
  <x:borders count="11">
    <x:border/>
    <x:border/>
    <x:border>
      <x:left style="thin">
        <x:color rgb="FFB7C3C9"/>
      </x:left>
      <x:top style="thin">
        <x:color rgb="FFB7C3C9"/>
      </x:top>
    </x:border>
    <x:border>
      <x:right style="thin">
        <x:color rgb="FFB7C3C9"/>
      </x:right>
      <x:top style="thin">
        <x:color rgb="FFB7C3C9"/>
      </x:top>
    </x:border>
    <x:border>
      <x:left style="thin">
        <x:color rgb="FFB7C3C9"/>
      </x:left>
    </x:border>
    <x:border>
      <x:right style="thin">
        <x:color rgb="FFB7C3C9"/>
      </x:right>
    </x:border>
    <x:border>
      <x:left style="thin">
        <x:color rgb="FFB7C3C9"/>
      </x:left>
      <x:bottom style="thin">
        <x:color rgb="FFB7C3C9"/>
      </x:bottom>
    </x:border>
    <x:border>
      <x:right style="thin">
        <x:color rgb="FFB7C3C9"/>
      </x:right>
      <x:bottom style="thin">
        <x:color rgb="FFB7C3C9"/>
      </x:bottom>
    </x:border>
    <x:border>
      <x:top style="thin">
        <x:color rgb="FFB7C3C9"/>
      </x:top>
    </x:border>
    <x:border>
      <x:bottom style="thin">
        <x:color rgb="FFB7C3C9"/>
      </x:bottom>
    </x:border>
    <x:border>
      <x:bottom style="hair">
        <x:color rgb="FFD7E0E4"/>
      </x:bottom>
    </x:border>
  </x:borders>
  <x:cellStyleXfs count="1">
    <x:xf numFmtId="0" fontId="0" fillId="0" borderId="0"/>
  </x:cellStyleXfs>
  <x:cellXfs count="18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1"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vertical="center"/>
    </x:xf>
    <x:xf numFmtId="0" fontId="6" fillId="0" borderId="1" xfId="0" applyNumberFormat="1" applyFont="1" applyFill="1" applyBorder="1"/>
    <x:xf numFmtId="0" fontId="6" fillId="0" borderId="1" xfId="0" applyNumberFormat="1" applyFont="1" applyFill="1" applyBorder="1" applyAlignment="1">
      <x:alignment vertical="center"/>
    </x:xf>
    <x:xf numFmtId="200" fontId="6" fillId="0" borderId="0" xfId="0" applyNumberFormat="1" applyFont="1" applyFill="1" applyBorder="1" applyAlignment="1">
      <x:alignment vertical="center"/>
    </x:xf>
    <x:xf numFmtId="200" fontId="6" fillId="0" borderId="1" xfId="0" applyNumberFormat="1" applyFont="1" applyFill="1" applyBorder="1" applyAlignment="1">
      <x:alignment vertical="center"/>
    </x:xf>
    <x:xf numFmtId="0" fontId="6" fillId="0" borderId="0" xfId="0" applyNumberFormat="1" applyFont="1" applyFill="1" applyBorder="1" applyAlignment="1">
      <x:alignment vertical="center" wrapText="1"/>
    </x:xf>
    <x:xf numFmtId="0" fontId="6" fillId="0" borderId="1" xfId="0" applyNumberFormat="1" applyFont="1" applyFill="1" applyBorder="1" applyAlignment="1">
      <x:alignment vertical="center" wrapText="1"/>
    </x:xf>
    <x:xf numFmtId="200" fontId="6" fillId="0" borderId="0" xfId="0" applyNumberFormat="1" applyFont="1" applyFill="1" applyBorder="1" applyAlignment="1">
      <x:alignment vertical="center" wrapText="1"/>
    </x:xf>
    <x:xf numFmtId="200" fontId="6" fillId="0" borderId="1" xfId="0" applyNumberFormat="1" applyFont="1" applyFill="1" applyBorder="1" applyAlignment="1">
      <x:alignment vertical="center" wrapText="1"/>
    </x:xf>
    <x:xf numFmtId="201" fontId="6" fillId="0" borderId="0" xfId="0" applyNumberFormat="1" applyFont="1" applyFill="1" applyBorder="1" applyAlignment="1">
      <x:alignment vertical="center" wrapText="1"/>
    </x:xf>
    <x:xf numFmtId="201" fontId="6" fillId="0" borderId="1" xfId="0" applyNumberFormat="1" applyFont="1" applyFill="1" applyBorder="1" applyAlignment="1">
      <x:alignment vertical="center" wrapText="1"/>
    </x:xf>
    <x:xf numFmtId="202" fontId="6" fillId="0" borderId="0" xfId="0" applyNumberFormat="1" applyFont="1" applyFill="1" applyBorder="1" applyAlignment="1">
      <x:alignment vertical="center" wrapText="1"/>
    </x:xf>
    <x:xf numFmtId="0" fontId="0" fillId="0" borderId="0"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left"/>
    </x:xf>
    <x:xf numFmtId="0" fontId="1" fillId="7" borderId="0" xfId="0" applyNumberFormat="1" applyFont="1" applyFill="1" applyBorder="1" applyAlignment="1">
      <x:alignment horizontal="left" vertical="center"/>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horizontal="left" wrapText="1"/>
    </x:xf>
    <x:xf numFmtId="0" fontId="2" fillId="8" borderId="0" xfId="0" applyNumberFormat="1" applyFont="1" applyFill="1" applyBorder="1" applyAlignment="1">
      <x:alignment horizontal="left" vertical="center"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7" fillId="9" borderId="0" xfId="0" applyNumberFormat="1" applyFont="1" applyFill="1" applyBorder="1" applyAlignment="1">
      <x:alignment vertical="center" wrapText="1"/>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horizontal="center"/>
    </x:xf>
    <x:xf numFmtId="0" fontId="8" fillId="10" borderId="0" xfId="0" applyNumberFormat="1" applyFont="1" applyFill="1" applyBorder="1" applyAlignment="1">
      <x:alignment horizontal="center" vertical="center"/>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wrapText="1"/>
    </x:xf>
    <x:xf numFmtId="0" fontId="9" fillId="11" borderId="0" xfId="0" applyNumberFormat="1" applyFont="1" applyFill="1" applyBorder="1" applyAlignment="1">
      <x:alignment vertical="top"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horizontal="left"/>
    </x:xf>
    <x:xf numFmtId="0" fontId="3" fillId="12" borderId="0" xfId="0" applyNumberFormat="1" applyFont="1" applyFill="1" applyBorder="1" applyAlignment="1">
      <x:alignment horizontal="left" vertical="center"/>
    </x:xf>
    <x:xf numFmtId="0" fontId="0" fillId="13" borderId="0" xfId="0" applyNumberFormat="1" applyFont="1" applyFill="1" applyBorder="1"/>
    <x:xf numFmtId="0" fontId="5" fillId="13" borderId="0" xfId="0" applyNumberFormat="1" applyFont="1" applyFill="1" applyBorder="1"/>
    <x:xf numFmtId="0" fontId="5" fillId="13" borderId="0" xfId="0" applyNumberFormat="1" applyFont="1" applyFill="1" applyBorder="1" applyAlignment="1">
      <x:alignment wrapText="1"/>
    </x:xf>
    <x:xf numFmtId="0" fontId="5" fillId="13" borderId="0" xfId="0" applyNumberFormat="1" applyFont="1" applyFill="1" applyBorder="1" applyAlignment="1">
      <x:alignment horizontal="center" wrapText="1"/>
    </x:xf>
    <x:xf numFmtId="0" fontId="5" fillId="1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7" fillId="4" borderId="0" xfId="0" applyNumberFormat="1" applyFont="1" applyFill="1" applyBorder="1"/>
    <x:xf numFmtId="0" fontId="7" fillId="4" borderId="0" xfId="0" applyNumberFormat="1" applyFont="1" applyFill="1" applyBorder="1" applyAlignment="1">
      <x:alignment wrapText="1"/>
    </x:xf>
    <x:xf numFmtId="0" fontId="7" fillId="4" borderId="0" xfId="0" applyNumberFormat="1" applyFont="1" applyFill="1" applyBorder="1" applyAlignment="1">
      <x:alignment vertical="center" wrapText="1"/>
    </x:xf>
    <x:xf numFmtId="0" fontId="8" fillId="5" borderId="0" xfId="0" applyNumberFormat="1" applyFont="1" applyFill="1" applyBorder="1"/>
    <x:xf numFmtId="0" fontId="8" fillId="5" borderId="0" xfId="0" applyNumberFormat="1" applyFont="1" applyFill="1" applyBorder="1" applyAlignment="1">
      <x:alignment horizontal="center"/>
    </x:xf>
    <x:xf numFmtId="0" fontId="8" fillId="5" borderId="0"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14" borderId="0" xfId="0" applyNumberFormat="1" applyFont="1" applyFill="1" applyBorder="1"/>
    <x:xf numFmtId="0" fontId="10" fillId="14" borderId="0" xfId="0" applyNumberFormat="1" applyFont="1" applyFill="1" applyBorder="1"/>
    <x:xf numFmtId="0" fontId="10" fillId="14" borderId="0" xfId="0" applyNumberFormat="1" applyFont="1" applyFill="1" applyBorder="1" applyAlignment="1">
      <x:alignment vertical="center"/>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vertical="center" wrapText="1"/>
    </x:xf>
    <x:xf numFmtId="0" fontId="0" fillId="16" borderId="0" xfId="0" applyNumberFormat="1" applyFont="1" applyFill="1" applyBorder="1"/>
    <x:xf numFmtId="0" fontId="5" fillId="16" borderId="0" xfId="0" applyNumberFormat="1" applyFont="1" applyFill="1" applyBorder="1"/>
    <x:xf numFmtId="0" fontId="5" fillId="16" borderId="0" xfId="0" applyNumberFormat="1" applyFont="1" applyFill="1" applyBorder="1" applyAlignment="1">
      <x:alignment wrapText="1"/>
    </x:xf>
    <x:xf numFmtId="0" fontId="5" fillId="16" borderId="0" xfId="0" applyNumberFormat="1" applyFont="1" applyFill="1" applyBorder="1" applyAlignment="1">
      <x:alignment horizont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center" wrapText="1"/>
    </x:xf>
    <x:xf numFmtId="0" fontId="10" fillId="2" borderId="0" xfId="0" applyNumberFormat="1" applyFont="1" applyFill="1" applyBorder="1"/>
    <x:xf numFmtId="0" fontId="10" fillId="2" borderId="0" xfId="0" applyNumberFormat="1" applyFont="1" applyFill="1" applyBorder="1" applyAlignment="1">
      <x:alignment vertical="center"/>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vertical="center"/>
    </x:xf>
    <x:xf numFmtId="0" fontId="0" fillId="18" borderId="0" xfId="0" applyNumberFormat="1" applyFont="1" applyFill="1" applyBorder="1"/>
    <x:xf numFmtId="0" fontId="2" fillId="18" borderId="0" xfId="0" applyNumberFormat="1" applyFont="1" applyFill="1" applyBorder="1"/>
    <x:xf numFmtId="0" fontId="2" fillId="18" borderId="0" xfId="0" applyNumberFormat="1" applyFont="1" applyFill="1" applyBorder="1" applyAlignment="1">
      <x:alignment wrapText="1"/>
    </x:xf>
    <x:xf numFmtId="0" fontId="2" fillId="18" borderId="0" xfId="0" applyNumberFormat="1" applyFont="1" applyFill="1" applyBorder="1" applyAlignment="1">
      <x:alignment vertical="center" wrapText="1"/>
    </x:xf>
    <x:xf numFmtId="0" fontId="0" fillId="19" borderId="0" xfId="0" applyNumberFormat="1" applyFont="1" applyFill="1" applyBorder="1"/>
    <x:xf numFmtId="0" fontId="5" fillId="19" borderId="0" xfId="0" applyNumberFormat="1" applyFont="1" applyFill="1" applyBorder="1"/>
    <x:xf numFmtId="0" fontId="5" fillId="19" borderId="0" xfId="0" applyNumberFormat="1" applyFont="1" applyFill="1" applyBorder="1" applyAlignment="1">
      <x:alignment wrapText="1"/>
    </x:xf>
    <x:xf numFmtId="0" fontId="5" fillId="19" borderId="0" xfId="0" applyNumberFormat="1" applyFont="1" applyFill="1" applyBorder="1" applyAlignment="1">
      <x:alignment horizontal="center" wrapText="1"/>
    </x:xf>
    <x:xf numFmtId="0" fontId="5" fillId="19" borderId="0" xfId="0" applyNumberFormat="1" applyFont="1" applyFill="1" applyBorder="1" applyAlignment="1">
      <x:alignment horizontal="center" vertical="center" wrapText="1"/>
    </x:xf>
    <x:xf numFmtId="0" fontId="0" fillId="20" borderId="0" xfId="0" applyNumberFormat="1" applyFont="1" applyFill="1" applyBorder="1"/>
    <x:xf numFmtId="0" fontId="12" fillId="20" borderId="0" xfId="0" applyNumberFormat="1" applyFont="1" applyFill="1" applyBorder="1"/>
    <x:xf numFmtId="0" fontId="12" fillId="20" borderId="0" xfId="0" applyNumberFormat="1" applyFont="1" applyFill="1" applyBorder="1" applyAlignment="1">
      <x:alignment wrapText="1"/>
    </x:xf>
    <x:xf numFmtId="0" fontId="12" fillId="20" borderId="0" xfId="0" applyNumberFormat="1" applyFont="1" applyFill="1" applyBorder="1" applyAlignment="1">
      <x:alignment horizontal="center" wrapText="1"/>
    </x:xf>
    <x:xf numFmtId="0" fontId="12" fillId="20" borderId="0" xfId="0" applyNumberFormat="1" applyFont="1" applyFill="1" applyBorder="1" applyAlignment="1">
      <x:alignment horizontal="center" vertical="center" wrapText="1"/>
    </x:xf>
    <x:xf numFmtId="0" fontId="0" fillId="21" borderId="0" xfId="0" applyNumberFormat="1" applyFont="1" applyFill="1" applyBorder="1"/>
    <x:xf numFmtId="0" fontId="12" fillId="21" borderId="0" xfId="0" applyNumberFormat="1" applyFont="1" applyFill="1" applyBorder="1"/>
    <x:xf numFmtId="0" fontId="12" fillId="21" borderId="0" xfId="0" applyNumberFormat="1" applyFont="1" applyFill="1" applyBorder="1" applyAlignment="1">
      <x:alignment wrapText="1"/>
    </x:xf>
    <x:xf numFmtId="0" fontId="12" fillId="22" borderId="0" xfId="0" applyNumberFormat="1" applyFont="1" applyFill="1" applyBorder="1" applyAlignment="1">
      <x:alignment wrapText="1"/>
    </x:xf>
    <x:xf numFmtId="0" fontId="0" fillId="23" borderId="0" xfId="0" applyNumberFormat="1" applyFont="1" applyFill="1" applyBorder="1"/>
    <x:xf numFmtId="0" fontId="13" fillId="23" borderId="0" xfId="0" applyNumberFormat="1" applyFont="1" applyFill="1" applyBorder="1"/>
    <x:xf numFmtId="0" fontId="13" fillId="23" borderId="0" xfId="0" applyNumberFormat="1" applyFont="1" applyFill="1" applyBorder="1" applyAlignment="1">
      <x:alignment horizontal="center"/>
    </x:xf>
    <x:xf numFmtId="0" fontId="13" fillId="23" borderId="0" xfId="0" applyNumberFormat="1" applyFont="1" applyFill="1" applyBorder="1" applyAlignment="1">
      <x:alignment horizontal="center" vertical="center"/>
    </x:xf>
    <x:xf numFmtId="0" fontId="0" fillId="24" borderId="0" xfId="0" applyNumberFormat="1" applyFont="1" applyFill="1" applyBorder="1"/>
    <x:xf numFmtId="0" fontId="12" fillId="24" borderId="0" xfId="0" applyNumberFormat="1" applyFont="1" applyFill="1" applyBorder="1"/>
    <x:xf numFmtId="0" fontId="12" fillId="24" borderId="0" xfId="0" applyNumberFormat="1" applyFont="1" applyFill="1" applyBorder="1" applyAlignment="1">
      <x:alignment horizontal="center"/>
    </x:xf>
    <x:xf numFmtId="0" fontId="4" fillId="0" borderId="0" xfId="0" applyNumberFormat="1" applyFont="1" applyFill="1" applyBorder="1"/>
    <x:xf numFmtId="0" fontId="12" fillId="24" borderId="2" xfId="0" applyNumberFormat="1" applyFont="1" applyFill="1" applyBorder="1" applyAlignment="1">
      <x:alignment horizontal="center"/>
    </x:xf>
    <x:xf numFmtId="0" fontId="12" fillId="24" borderId="3" xfId="0" applyNumberFormat="1" applyFont="1" applyFill="1" applyBorder="1" applyAlignment="1">
      <x:alignment horizontal="center"/>
    </x:xf>
    <x:xf numFmtId="0" fontId="4" fillId="0" borderId="4" xfId="0" applyNumberFormat="1" applyFont="1" applyFill="1" applyBorder="1"/>
    <x:xf numFmtId="0" fontId="0" fillId="0" borderId="5" xfId="0" applyNumberFormat="1" applyFont="1" applyFill="1" applyBorder="1"/>
    <x:xf numFmtId="0" fontId="4" fillId="0" borderId="6" xfId="0" applyNumberFormat="1" applyFont="1" applyFill="1" applyBorder="1"/>
    <x:xf numFmtId="0" fontId="0" fillId="0" borderId="7" xfId="0" applyNumberFormat="1" applyFont="1" applyFill="1" applyBorder="1"/>
    <x:xf numFmtId="0" fontId="0" fillId="25" borderId="0" xfId="0" applyNumberFormat="1" applyFont="1" applyFill="1" applyBorder="1"/>
    <x:xf numFmtId="0" fontId="0" fillId="25" borderId="2" xfId="0" applyNumberFormat="1" applyFont="1" applyFill="1" applyBorder="1"/>
    <x:xf numFmtId="0" fontId="0" fillId="25" borderId="8" xfId="0" applyNumberFormat="1" applyFont="1" applyFill="1" applyBorder="1"/>
    <x:xf numFmtId="0" fontId="0" fillId="25" borderId="3" xfId="0" applyNumberFormat="1" applyFont="1" applyFill="1" applyBorder="1"/>
    <x:xf numFmtId="0" fontId="0" fillId="25" borderId="4" xfId="0" applyNumberFormat="1" applyFont="1" applyFill="1" applyBorder="1"/>
    <x:xf numFmtId="0" fontId="0" fillId="25" xfId="0" applyNumberFormat="1" applyFont="1" applyFill="1" applyBorder="0"/>
    <x:xf numFmtId="0" fontId="0" fillId="25" borderId="5" xfId="0" applyNumberFormat="1" applyFont="1" applyFill="1" applyBorder="1"/>
    <x:xf numFmtId="0" fontId="0" fillId="25" borderId="6" xfId="0" applyNumberFormat="1" applyFont="1" applyFill="1" applyBorder="1"/>
    <x:xf numFmtId="0" fontId="0" fillId="25" borderId="9" xfId="0" applyNumberFormat="1" applyFont="1" applyFill="1" applyBorder="1"/>
    <x:xf numFmtId="0" fontId="0" fillId="25" borderId="7" xfId="0" applyNumberFormat="1" applyFont="1" applyFill="1" applyBorder="1"/>
    <x:xf numFmtId="0" fontId="0" fillId="25" borderId="2" xfId="0" applyNumberFormat="1" applyFont="1" applyFill="1" applyBorder="1" applyAlignment="1">
      <x:alignment wrapText="1"/>
    </x:xf>
    <x:xf numFmtId="0" fontId="0" fillId="25" borderId="8" xfId="0" applyNumberFormat="1" applyFont="1" applyFill="1" applyBorder="1" applyAlignment="1">
      <x:alignment wrapText="1"/>
    </x:xf>
    <x:xf numFmtId="0" fontId="0" fillId="25" borderId="3" xfId="0" applyNumberFormat="1" applyFont="1" applyFill="1" applyBorder="1" applyAlignment="1">
      <x:alignment wrapText="1"/>
    </x:xf>
    <x:xf numFmtId="0" fontId="0" fillId="25" borderId="4" xfId="0" applyNumberFormat="1" applyFont="1" applyFill="1" applyBorder="1" applyAlignment="1">
      <x:alignment wrapText="1"/>
    </x:xf>
    <x:xf numFmtId="0" fontId="0" fillId="25" xfId="0" applyNumberFormat="1" applyFont="1" applyFill="1" applyBorder="0" applyAlignment="1">
      <x:alignment wrapText="1"/>
    </x:xf>
    <x:xf numFmtId="0" fontId="0" fillId="25" borderId="5" xfId="0" applyNumberFormat="1" applyFont="1" applyFill="1" applyBorder="1" applyAlignment="1">
      <x:alignment wrapText="1"/>
    </x:xf>
    <x:xf numFmtId="0" fontId="0" fillId="25" borderId="6" xfId="0" applyNumberFormat="1" applyFont="1" applyFill="1" applyBorder="1" applyAlignment="1">
      <x:alignment wrapText="1"/>
    </x:xf>
    <x:xf numFmtId="0" fontId="0" fillId="25" borderId="9" xfId="0" applyNumberFormat="1" applyFont="1" applyFill="1" applyBorder="1" applyAlignment="1">
      <x:alignment wrapText="1"/>
    </x:xf>
    <x:xf numFmtId="0" fontId="0" fillId="25" borderId="7" xfId="0" applyNumberFormat="1" applyFont="1" applyFill="1" applyBorder="1" applyAlignment="1">
      <x:alignment wrapText="1"/>
    </x:xf>
    <x:xf numFmtId="0" fontId="0" fillId="25" borderId="2" xfId="0" applyNumberFormat="1" applyFont="1" applyFill="1" applyBorder="1" applyAlignment="1">
      <x:alignment vertical="top" wrapText="1"/>
    </x:xf>
    <x:xf numFmtId="0" fontId="0" fillId="25" borderId="8" xfId="0" applyNumberFormat="1" applyFont="1" applyFill="1" applyBorder="1" applyAlignment="1">
      <x:alignment vertical="top" wrapText="1"/>
    </x:xf>
    <x:xf numFmtId="0" fontId="0" fillId="25" borderId="3" xfId="0" applyNumberFormat="1" applyFont="1" applyFill="1" applyBorder="1" applyAlignment="1">
      <x:alignment vertical="top" wrapText="1"/>
    </x:xf>
    <x:xf numFmtId="0" fontId="0" fillId="25" borderId="4" xfId="0" applyNumberFormat="1" applyFont="1" applyFill="1" applyBorder="1" applyAlignment="1">
      <x:alignment vertical="top" wrapText="1"/>
    </x:xf>
    <x:xf numFmtId="0" fontId="0" fillId="25" xfId="0" applyNumberFormat="1" applyFont="1" applyFill="1" applyBorder="0" applyAlignment="1">
      <x:alignment vertical="top" wrapText="1"/>
    </x:xf>
    <x:xf numFmtId="0" fontId="0" fillId="25" borderId="5" xfId="0" applyNumberFormat="1" applyFont="1" applyFill="1" applyBorder="1" applyAlignment="1">
      <x:alignment vertical="top" wrapText="1"/>
    </x:xf>
    <x:xf numFmtId="0" fontId="0" fillId="25" borderId="6" xfId="0" applyNumberFormat="1" applyFont="1" applyFill="1" applyBorder="1" applyAlignment="1">
      <x:alignment vertical="top" wrapText="1"/>
    </x:xf>
    <x:xf numFmtId="0" fontId="0" fillId="25" borderId="9" xfId="0" applyNumberFormat="1" applyFont="1" applyFill="1" applyBorder="1" applyAlignment="1">
      <x:alignment vertical="top" wrapText="1"/>
    </x:xf>
    <x:xf numFmtId="0" fontId="0" fillId="25" borderId="7" xfId="0" applyNumberFormat="1" applyFont="1" applyFill="1" applyBorder="1" applyAlignment="1">
      <x:alignment vertical="top" wrapText="1"/>
    </x:xf>
    <x:xf numFmtId="0" fontId="12" fillId="23" borderId="0" xfId="0" applyNumberFormat="1" applyFont="1" applyFill="1" applyBorder="1"/>
    <x:xf numFmtId="0" fontId="12" fillId="23" borderId="0" xfId="0" applyNumberFormat="1" applyFont="1" applyFill="1" applyBorder="1" applyAlignment="1">
      <x:alignment horizontal="center"/>
    </x:xf>
    <x:xf numFmtId="0" fontId="12" fillId="23" xfId="0" applyNumberFormat="1" applyFont="1" applyFill="1" applyBorder="0" applyAlignment="1">
      <x:alignment horizontal="center"/>
    </x:xf>
    <x:xf numFmtId="0" fontId="0" fillId="0" xfId="0" applyNumberFormat="1" applyFont="1" applyFill="1" applyBorder="0"/>
    <x:xf numFmtId="0" fontId="0" fillId="0" borderId="10" xfId="0" applyNumberFormat="1" applyFont="1" applyFill="1" applyBorder="1"/>
    <x:xf numFmtId="0" fontId="12" fillId="23" borderId="0" xfId="0" applyNumberFormat="1" applyFont="1" applyFill="1" applyBorder="1" applyAlignment="1">
      <x:alignment wrapText="1"/>
    </x:xf>
    <x:xf numFmtId="0" fontId="12" fillId="23" borderId="0" xfId="0" applyNumberFormat="1" applyFont="1" applyFill="1" applyBorder="1" applyAlignment="1">
      <x:alignment horizontal="center" wrapText="1"/>
    </x:xf>
    <x:xf numFmtId="0" fontId="12" fillId="23"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10" xfId="0" applyNumberFormat="1" applyFont="1" applyFill="1" applyBorder="1" applyAlignment="1">
      <x:alignment vertical="top" wrapText="1"/>
    </x:xf>
  </x:cellXfs>
  <x:cellStyles count="1">
    <x:cellStyle name="Normal" xfId="0"/>
  </x:cellStyles>
  <x:dxfs count="44">
    <x:dxf>
      <x:font>
        <x:b/>
        <x:color rgb="FF7A5B00"/>
      </x:font>
      <x:fill>
        <x:patternFill>
          <x:bgColor rgb="FFFFF1C7"/>
        </x:patternFill>
      </x:fill>
    </x:dxf>
    <x:dxf>
      <x:font>
        <x:b/>
        <x:color rgb="FFA8202C"/>
      </x:font>
      <x:fill>
        <x:patternFill>
          <x:bgColor rgb="FFF4DDDF"/>
        </x:patternFill>
      </x:fill>
    </x:dxf>
    <x:dxf>
      <x:font>
        <x:b/>
        <x:color rgb="FF7A5B00"/>
      </x:font>
      <x:fill>
        <x:patternFill>
          <x:bgColor rgb="FFFFF1C7"/>
        </x:patternFill>
      </x:fill>
    </x:dxf>
    <x:dxf>
      <x:font>
        <x:b/>
        <x:color rgb="FF245C36"/>
      </x:font>
      <x:fill>
        <x:patternFill>
          <x:bgColor rgb="FFDDEBDD"/>
        </x:patternFill>
      </x:fill>
    </x:dxf>
    <x:dxf>
      <x:font>
        <x:b/>
        <x:color rgb="FFA8202C"/>
      </x:font>
      <x:fill>
        <x:patternFill>
          <x:bgColor rgb="FFF4DDDF"/>
        </x:patternFill>
      </x:fill>
    </x:dxf>
    <x:dxf>
      <x:font>
        <x:b/>
        <x:color rgb="FF7F0010"/>
      </x:font>
      <x:fill>
        <x:patternFill>
          <x:bgColor rgb="FFE7D3D6"/>
        </x:patternFill>
      </x:fill>
    </x:dxf>
    <x:dxf>
      <x:font>
        <x:b/>
        <x:color rgb="FF7A5B00"/>
      </x:font>
      <x:fill>
        <x:patternFill>
          <x:bgColor rgb="FFFFF1C7"/>
        </x:patternFill>
      </x:fill>
    </x:dxf>
    <x:dxf>
      <x:font>
        <x:b/>
        <x:color rgb="FF295A7A"/>
      </x:font>
      <x:fill>
        <x:patternFill>
          <x:bgColor rgb="FFE4EEF7"/>
        </x:patternFill>
      </x:fill>
    </x:dxf>
    <x:dxf>
      <x:font>
        <x:b/>
        <x:color rgb="FF5A3D82"/>
      </x:font>
      <x:fill>
        <x:patternFill>
          <x:bgColor rgb="FFEEE8F7"/>
        </x:patternFill>
      </x:fill>
    </x:dxf>
    <x:dxf>
      <x:font>
        <x:b/>
        <x:color rgb="FF245C36"/>
      </x:font>
      <x:fill>
        <x:patternFill>
          <x:bgColor rgb="FFDDEBDD"/>
        </x:patternFill>
      </x:fill>
    </x:dxf>
    <x:dxf>
      <x:font>
        <x:b/>
        <x:color rgb="FFA8202C"/>
      </x:font>
      <x:fill>
        <x:patternFill>
          <x:bgColor rgb="FFF4DDDF"/>
        </x:patternFill>
      </x:fill>
    </x:dxf>
    <x:dxf>
      <x:font>
        <x:b/>
        <x:color rgb="FF7F0010"/>
      </x:font>
      <x:fill>
        <x:patternFill>
          <x:bgColor rgb="FFE7D3D6"/>
        </x:patternFill>
      </x:fill>
    </x:dxf>
    <x:dxf>
      <x:font>
        <x:b/>
        <x:color rgb="FF7A5B00"/>
      </x:font>
      <x:fill>
        <x:patternFill>
          <x:bgColor rgb="FFFFF1C7"/>
        </x:patternFill>
      </x:fill>
    </x:dxf>
    <x:dxf>
      <x:font>
        <x:b/>
        <x:color rgb="FF5A3D82"/>
      </x:font>
      <x:fill>
        <x:patternFill>
          <x:bgColor rgb="FFEEE8F7"/>
        </x:patternFill>
      </x:fill>
    </x:dxf>
    <x:dxf>
      <x:font>
        <x:b/>
        <x:color rgb="FF5A3D82"/>
      </x:font>
      <x:fill>
        <x:patternFill>
          <x:bgColor rgb="FFEEE8F7"/>
        </x:patternFill>
      </x:fill>
    </x:dxf>
    <x:dxf>
      <x:font>
        <x:b/>
        <x:color rgb="FFA8202C"/>
      </x:font>
      <x:fill>
        <x:patternFill>
          <x:bgColor rgb="FFF4DDDF"/>
        </x:patternFill>
      </x:fill>
    </x:dxf>
    <x:dxf>
      <x:font>
        <x:b/>
        <x:color rgb="FF7A5B00"/>
      </x:font>
      <x:fill>
        <x:patternFill>
          <x:bgColor rgb="FFFFF1C7"/>
        </x:patternFill>
      </x:fill>
    </x:dxf>
    <x:dxf>
      <x:font>
        <x:b/>
        <x:color rgb="FF7F0010"/>
      </x:font>
      <x:fill>
        <x:patternFill>
          <x:bgColor rgb="FFE7D3D6"/>
        </x:patternFill>
      </x:fill>
    </x:dxf>
    <x:dxf>
      <x:font>
        <x:b/>
        <x:color rgb="FFA8202C"/>
      </x:font>
      <x:fill>
        <x:patternFill>
          <x:bgColor rgb="FFF4DDDF"/>
        </x:patternFill>
      </x:fill>
    </x:dxf>
    <x:dxf>
      <x:font>
        <x:b/>
        <x:color rgb="FF7A5B00"/>
      </x:font>
      <x:fill>
        <x:patternFill>
          <x:bgColor rgb="FFFFF1C7"/>
        </x:patternFill>
      </x:fill>
    </x:dxf>
    <x:dxf>
      <x:font>
        <x:b/>
        <x:color rgb="FF295A7A"/>
      </x:font>
      <x:fill>
        <x:patternFill>
          <x:bgColor rgb="FFE4EEF7"/>
        </x:patternFill>
      </x:fill>
    </x:dxf>
    <x:dxf>
      <x:font>
        <x:b/>
        <x:color rgb="FF7A5B00"/>
      </x:font>
      <x:fill>
        <x:patternFill>
          <x:bgColor rgb="FFFFF1C7"/>
        </x:patternFill>
      </x:fill>
    </x:dxf>
    <x:dxf>
      <x:font>
        <x:b/>
        <x:color rgb="FF295A7A"/>
      </x:font>
      <x:fill>
        <x:patternFill>
          <x:bgColor rgb="FFE4EEF7"/>
        </x:patternFill>
      </x:fill>
    </x:dxf>
    <x:dxf>
      <x:font>
        <x:b/>
        <x:color rgb="FFA8202C"/>
      </x:font>
      <x:fill>
        <x:patternFill>
          <x:bgColor rgb="FFF4DDDF"/>
        </x:patternFill>
      </x:fill>
    </x:dxf>
    <x:dxf>
      <x:font>
        <x:b/>
        <x:color rgb="FF245C36"/>
      </x:font>
      <x:fill>
        <x:patternFill>
          <x:bgColor rgb="FFDDEBDD"/>
        </x:patternFill>
      </x:fill>
    </x:dxf>
    <x:dxf>
      <x:font>
        <x:b/>
        <x:color rgb="FF245C36"/>
      </x:font>
      <x:fill>
        <x:patternFill>
          <x:bgColor rgb="FFDDEBDD"/>
        </x:patternFill>
      </x:fill>
    </x:dxf>
    <x:dxf>
      <x:font>
        <x:b/>
        <x:color rgb="FF5A3D82"/>
      </x:font>
      <x:fill>
        <x:patternFill>
          <x:bgColor rgb="FFEEE8F7"/>
        </x:patternFill>
      </x:fill>
    </x:dxf>
    <x:dxf>
      <x:font>
        <x:b/>
        <x:color rgb="FF295A7A"/>
      </x:font>
      <x:fill>
        <x:patternFill>
          <x:bgColor rgb="FFE4EEF7"/>
        </x:patternFill>
      </x:fill>
    </x:dxf>
    <x:dxf>
      <x:font>
        <x:b/>
        <x:color rgb="FF7A5B00"/>
      </x:font>
      <x:fill>
        <x:patternFill>
          <x:bgColor rgb="FFFFF1C7"/>
        </x:patternFill>
      </x:fill>
    </x:dxf>
    <x:dxf>
      <x:font>
        <x:b/>
        <x:color rgb="FF295A7A"/>
      </x:font>
      <x:fill>
        <x:patternFill>
          <x:bgColor rgb="FFE4EEF7"/>
        </x:patternFill>
      </x:fill>
    </x:dxf>
    <x:dxf>
      <x:font>
        <x:b/>
        <x:color rgb="FF5A3D82"/>
      </x:font>
      <x:fill>
        <x:patternFill>
          <x:bgColor rgb="FFEEE8F7"/>
        </x:patternFill>
      </x:fill>
    </x:dxf>
    <x:dxf>
      <x:font>
        <x:b/>
        <x:color rgb="FF245C36"/>
      </x:font>
      <x:fill>
        <x:patternFill>
          <x:bgColor rgb="FFDDEBDD"/>
        </x:patternFill>
      </x:fill>
    </x:dxf>
    <x:dxf>
      <x:font>
        <x:b/>
        <x:color rgb="FF5A3D82"/>
      </x:font>
      <x:fill>
        <x:patternFill>
          <x:bgColor rgb="FFEEE8F7"/>
        </x:patternFill>
      </x:fill>
    </x:dxf>
    <x:dxf>
      <x:font>
        <x:b/>
        <x:color rgb="FF245C36"/>
      </x:font>
      <x:fill>
        <x:patternFill>
          <x:bgColor rgb="FFDDEBDD"/>
        </x:patternFill>
      </x:fill>
    </x:dxf>
    <x:dxf>
      <x:font>
        <x:b/>
        <x:color rgb="FF245C36"/>
      </x:font>
      <x:fill>
        <x:patternFill>
          <x:bgColor rgb="FFDDEBDD"/>
        </x:patternFill>
      </x:fill>
    </x:dxf>
    <x:dxf>
      <x:font>
        <x:b/>
      </x:font>
      <x:fill>
        <x:patternFill>
          <x:bgColor rgb="FFF4CCCC"/>
        </x:patternFill>
      </x:fill>
    </x:dxf>
    <x:dxf>
      <x:font>
        <x:b/>
      </x:font>
      <x:fill>
        <x:patternFill>
          <x:bgColor rgb="FFFFF2CC"/>
        </x:patternFill>
      </x:fill>
    </x:dxf>
    <x:dxf>
      <x:fill>
        <x:patternFill>
          <x:bgColor rgb="FFFCE4D6"/>
        </x:patternFill>
      </x:fill>
    </x:dxf>
    <x:dxf>
      <x:font>
        <x:b/>
      </x:font>
      <x:fill>
        <x:patternFill>
          <x:bgColor rgb="FFF4CCCC"/>
        </x:patternFill>
      </x:fill>
    </x:dxf>
    <x:dxf>
      <x:font>
        <x:b/>
      </x:font>
      <x:fill>
        <x:patternFill>
          <x:bgColor rgb="FFFFF2CC"/>
        </x:patternFill>
      </x:fill>
    </x:dxf>
    <x:dxf>
      <x:fill>
        <x:patternFill>
          <x:bgColor rgb="FFFCE4D6"/>
        </x:patternFill>
      </x:fill>
    </x:dxf>
    <x:dxf>
      <x:font>
        <x:b/>
      </x:font>
      <x:fill>
        <x:patternFill>
          <x:bgColor rgb="FFF4CCCC"/>
        </x:patternFill>
      </x:fill>
    </x:dxf>
    <x:dxf>
      <x:font>
        <x:b/>
      </x:font>
      <x:fill>
        <x:patternFill>
          <x:bgColor rgb="FFFFF2CC"/>
        </x:patternFill>
      </x:fill>
    </x:dxf>
    <x:dxf>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d60dd0be70149bf" /><Relationship Type="http://schemas.openxmlformats.org/officeDocument/2006/relationships/theme" Target="/xl/theme/theme1.xml" Id="R8759aea2b52447b4" /><Relationship Type="http://schemas.openxmlformats.org/officeDocument/2006/relationships/sharedStrings" Target="/xl/sharedStrings.xml" Id="R0778aac068774a31" /><Relationship Type="http://schemas.openxmlformats.org/officeDocument/2006/relationships/worksheet" Target="/xl/worksheets/sheet1.xml" Id="Rb81fee4397cd4a22" /><Relationship Type="http://schemas.openxmlformats.org/officeDocument/2006/relationships/worksheet" Target="/xl/worksheets/sheet2.xml" Id="Rb4760802808f4f2e" /><Relationship Type="http://schemas.openxmlformats.org/officeDocument/2006/relationships/worksheet" Target="/xl/worksheets/sheet3.xml" Id="R0d3b71571f834fd9" /><Relationship Type="http://schemas.openxmlformats.org/officeDocument/2006/relationships/worksheet" Target="/xl/worksheets/sheet4.xml" Id="R30e8367285714975" /><Relationship Type="http://schemas.openxmlformats.org/officeDocument/2006/relationships/worksheet" Target="/xl/worksheets/sheet5.xml" Id="R70aedd9bffbe4318" /><Relationship Type="http://schemas.openxmlformats.org/officeDocument/2006/relationships/worksheet" Target="/xl/worksheets/sheet6.xml" Id="Rcc047243a8374cc8" /><Relationship Type="http://schemas.openxmlformats.org/officeDocument/2006/relationships/worksheet" Target="/xl/worksheets/sheet7.xml" Id="Rea1d4e89fe2046b3" /><Relationship Type="http://schemas.openxmlformats.org/officeDocument/2006/relationships/worksheet" Target="/xl/worksheets/sheet8.xml" Id="R6c2329b4a2d04d64" /><Relationship Type="http://schemas.openxmlformats.org/officeDocument/2006/relationships/worksheet" Target="/xl/worksheets/sheet9.xml" Id="R65c8050dfdf34afa" /><Relationship Type="http://schemas.openxmlformats.org/officeDocument/2006/relationships/worksheet" Target="/xl/worksheets/sheet10.xml" Id="R21bf3028ffd54831" /><Relationship Type="http://schemas.openxmlformats.org/officeDocument/2006/relationships/worksheet" Target="/xl/worksheets/sheet11.xml" Id="R63aeb009165e4b3c" /><Relationship Type="http://schemas.openxmlformats.org/officeDocument/2006/relationships/worksheet" Target="/xl/worksheets/sheet12.xml" Id="R8bc9910071a84828" /><Relationship Type="http://schemas.openxmlformats.org/officeDocument/2006/relationships/worksheet" Target="/xl/worksheets/sheet13.xml" Id="R241ef3b6f8a24f02" /><Relationship Type="http://schemas.openxmlformats.org/officeDocument/2006/relationships/worksheet" Target="/xl/worksheets/sheet14.xml" Id="R192fe1c8d9124e5b" /><Relationship Type="http://schemas.openxmlformats.org/officeDocument/2006/relationships/worksheet" Target="/xl/worksheets/sheet15.xml" Id="Raf04e086998e434a" /><Relationship Type="http://schemas.openxmlformats.org/officeDocument/2006/relationships/worksheet" Target="/xl/worksheets/sheet16.xml" Id="Rff6ccecd13f344aa" /><Relationship Type="http://schemas.openxmlformats.org/officeDocument/2006/relationships/worksheet" Target="/xl/worksheets/sheet17.xml" Id="R2004f2c4716d467d" /><Relationship Type="http://schemas.openxmlformats.org/officeDocument/2006/relationships/worksheet" Target="/xl/worksheets/sheet18.xml" Id="R55845bafca2a4cec" /></Relationships>
</file>

<file path=xl/drawings/_rels/drawing1.xml.rels>&#65279;<?xml version="1.0" encoding="utf-8"?><Relationships xmlns="http://schemas.openxmlformats.org/package/2006/relationships"><Relationship Type="http://schemas.openxmlformats.org/officeDocument/2006/relationships/chart" Target="/xl/drawings/charts/chart1.xml" Id="R66017a7483784ca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Direct Gaps by Current Formula Count</a:t>
            </a:r>
          </a:p>
        </c:rich>
      </c:tx>
      <c:overlay val="0"/>
    </c:title>
    <c:autoTitleDeleted val="0"/>
    <c:plotArea>
      <c:layout/>
      <c:barChart>
        <c:barDir val="col"/>
        <c:varyColors val="0"/>
        <c:ser>
          <c:idx val="0"/>
          <c:order val="0"/>
          <c:tx>
            <c:v>Formula count</c:v>
          </c:tx>
          <c:cat>
            <c:strRef>
              <c:f>'Hedonic Priority Dashboard'!$B$17:$B$25</c:f>
              <c:strCache>
                <c:ptCount val="0"/>
              </c:strCache>
            </c:strRef>
          </c:cat>
          <c:val>
            <c:numRef>
              <c:f>'Hedonic Priority Dashboard'!$C$17:$C$25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15</xdr:row>
      <xdr:rowOff>0</xdr:rowOff>
    </xdr:from>
    <xdr:to>
      <xdr:col>14</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6017a7483784cad"/>
        </a:graphicData>
      </a:graphic>
    </xdr:graphicFrame>
    <xdr:clientData/>
  </xdr:twoCellAnchor>
</xdr:wsDr>
</file>

<file path=xl/tables/table1.xml><?xml version="1.0" encoding="utf-8"?>
<x:table xmlns:x="http://schemas.openxmlformats.org/spreadsheetml/2006/main" id="1" name="HighHedonicPriorityTable" displayName="HighHedonicPriorityTable" ref="A1:V36" headerRowCount="1">
  <x:tableColumns count="22">
    <x:tableColumn id="1" name="master_action_rank"/>
    <x:tableColumn id="2" name="lane"/>
    <x:tableColumn id="3" name="lane_rank"/>
    <x:tableColumn id="4" name="priority_band"/>
    <x:tableColumn id="5" name="material"/>
    <x:tableColumn id="6" name="current_state"/>
    <x:tableColumn id="7" name="recommended_action"/>
    <x:tableColumn id="8" name="purchase_class"/>
    <x:tableColumn id="9" name="current_formula_count"/>
    <x:tableColumn id="10" name="current_row_uses"/>
    <x:tableColumn id="11" name="hedonic_leverage_hypothesis"/>
    <x:tableColumn id="12" name="architectural_reuse"/>
    <x:tableColumn id="13" name="substitution_collapse_risk"/>
    <x:tableColumn id="14" name="missing_functions_or_value"/>
    <x:tableColumn id="15" name="accord_systems_unlocked"/>
    <x:tableColumn id="16" name="decision_enabled"/>
    <x:tableColumn id="17" name="authority_state"/>
    <x:tableColumn id="18" name="cost_state"/>
    <x:tableColumn id="19" name="physical_evidence_state"/>
    <x:tableColumn id="20" name="source_artifact"/>
    <x:tableColumn id="21" name="source_url"/>
    <x:tableColumn id="22" name="rationale_and_holds"/>
  </x:tableColumns>
  <x:tableStyleInfo name="TableStyleMedium2" showRowStripes="1"/>
</x:table>
</file>

<file path=xl/tables/table2.xml><?xml version="1.0" encoding="utf-8"?>
<x:table xmlns:x="http://schemas.openxmlformats.org/spreadsheetml/2006/main" id="2" name="DirectPortfolioGapsTable" displayName="DirectPortfolioGapsTable" ref="A1:V15" headerRowCount="1">
  <x:tableColumns count="22">
    <x:tableColumn id="1" name="master_action_rank"/>
    <x:tableColumn id="2" name="lane"/>
    <x:tableColumn id="3" name="lane_rank"/>
    <x:tableColumn id="4" name="priority_band"/>
    <x:tableColumn id="5" name="material"/>
    <x:tableColumn id="6" name="current_state"/>
    <x:tableColumn id="7" name="recommended_action"/>
    <x:tableColumn id="8" name="purchase_class"/>
    <x:tableColumn id="9" name="current_formula_count"/>
    <x:tableColumn id="10" name="current_row_uses"/>
    <x:tableColumn id="11" name="hedonic_leverage_hypothesis"/>
    <x:tableColumn id="12" name="architectural_reuse"/>
    <x:tableColumn id="13" name="substitution_collapse_risk"/>
    <x:tableColumn id="14" name="missing_functions_or_value"/>
    <x:tableColumn id="15" name="accord_systems_unlocked"/>
    <x:tableColumn id="16" name="decision_enabled"/>
    <x:tableColumn id="17" name="authority_state"/>
    <x:tableColumn id="18" name="cost_state"/>
    <x:tableColumn id="19" name="physical_evidence_state"/>
    <x:tableColumn id="20" name="source_artifact"/>
    <x:tableColumn id="21" name="source_url"/>
    <x:tableColumn id="22" name="rationale_and_holds"/>
  </x:tableColumns>
  <x:tableStyleInfo name="TableStyleMedium2" showRowStripes="1"/>
</x:table>
</file>

<file path=xl/tables/table3.xml><?xml version="1.0" encoding="utf-8"?>
<x:table xmlns:x="http://schemas.openxmlformats.org/spreadsheetml/2006/main" id="3" name="ArchitecturalExpansionTable" displayName="ArchitecturalExpansionTable" ref="A1:V22" headerRowCount="1">
  <x:tableColumns count="22">
    <x:tableColumn id="1" name="master_action_rank"/>
    <x:tableColumn id="2" name="lane"/>
    <x:tableColumn id="3" name="lane_rank"/>
    <x:tableColumn id="4" name="priority_band"/>
    <x:tableColumn id="5" name="material"/>
    <x:tableColumn id="6" name="current_state"/>
    <x:tableColumn id="7" name="recommended_action"/>
    <x:tableColumn id="8" name="purchase_class"/>
    <x:tableColumn id="9" name="current_formula_count"/>
    <x:tableColumn id="10" name="current_row_uses"/>
    <x:tableColumn id="11" name="hedonic_leverage_hypothesis"/>
    <x:tableColumn id="12" name="architectural_reuse"/>
    <x:tableColumn id="13" name="substitution_collapse_risk"/>
    <x:tableColumn id="14" name="missing_functions_or_value"/>
    <x:tableColumn id="15" name="accord_systems_unlocked"/>
    <x:tableColumn id="16" name="decision_enabled"/>
    <x:tableColumn id="17" name="authority_state"/>
    <x:tableColumn id="18" name="cost_state"/>
    <x:tableColumn id="19" name="physical_evidence_state"/>
    <x:tableColumn id="20" name="source_artifact"/>
    <x:tableColumn id="21" name="source_url"/>
    <x:tableColumn id="22" name="rationale_and_holds"/>
  </x:tableColumns>
  <x:tableStyleInfo name="TableStyleMedium2" showRowStripes="1"/>
</x:table>
</file>

<file path=xl/tables/table4.xml><?xml version="1.0" encoding="utf-8"?>
<x:table xmlns:x="http://schemas.openxmlformats.org/spreadsheetml/2006/main" id="4" name="PlannedPrepareTable" displayName="PlannedPrepareTable" ref="A1:I5" headerRowCount="1">
  <x:tableColumns count="9">
    <x:tableColumn id="1" name="action_rank"/>
    <x:tableColumn id="2" name="material_or_stock"/>
    <x:tableColumn id="3" name="current_state"/>
    <x:tableColumn id="4" name="action_type"/>
    <x:tableColumn id="5" name="recommended_action"/>
    <x:tableColumn id="6" name="why_not_buy_now"/>
    <x:tableColumn id="7" name="decision_enabled"/>
    <x:tableColumn id="8" name="physical_execution_state"/>
    <x:tableColumn id="9" name="source_basis"/>
  </x:tableColumns>
  <x:tableStyleInfo name="TableStyleMedium2" showRowStripes="1"/>
</x:table>
</file>

<file path=xl/tables/table5.xml><?xml version="1.0" encoding="utf-8"?>
<x:table xmlns:x="http://schemas.openxmlformats.org/spreadsheetml/2006/main" id="5" name="AccordCoverageTable" displayName="AccordCoverageTable" ref="A1:F9" headerRowCount="1">
  <x:tableColumns count="6">
    <x:tableColumn id="1" name="accord_system"/>
    <x:tableColumn id="2" name="highest_impact_missing_or_planned"/>
    <x:tableColumn id="3" name="secondary_candidates"/>
    <x:tableColumn id="4" name="current_strengths"/>
    <x:tableColumn id="5" name="main_failure_prevented"/>
    <x:tableColumn id="6" name="first_comparison"/>
  </x:tableColumns>
  <x:tableStyleInfo name="TableStyleMedium2" showRowStripes="1"/>
</x:table>
</file>

<file path=xl/tables/table6.xml><?xml version="1.0" encoding="utf-8"?>
<x:table xmlns:x="http://schemas.openxmlformats.org/spreadsheetml/2006/main" id="6" name="PriorityRulesTable" displayName="PriorityRulesTable" ref="A1:C10" headerRowCount="1">
  <x:tableColumns count="3">
    <x:tableColumn id="1" name="order"/>
    <x:tableColumn id="2" name="rule"/>
    <x:tableColumn id="3" name="implementa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2.xml.rels>&#65279;<?xml version="1.0" encoding="utf-8"?><Relationships xmlns="http://schemas.openxmlformats.org/package/2006/relationships"><Relationship Type="http://schemas.openxmlformats.org/officeDocument/2006/relationships/drawing" Target="/xl/drawings/drawing1.xml" Id="R233ff8aa5f314e71" /></Relationships>
</file>

<file path=xl/worksheets/_rels/sheet13.xml.rels>&#65279;<?xml version="1.0" encoding="utf-8"?><Relationships xmlns="http://schemas.openxmlformats.org/package/2006/relationships"><Relationship Type="http://schemas.openxmlformats.org/officeDocument/2006/relationships/table" Target="/xl/tables/table1.xml" Id="R017c855913ed47aa" /></Relationships>
</file>

<file path=xl/worksheets/_rels/sheet14.xml.rels>&#65279;<?xml version="1.0" encoding="utf-8"?><Relationships xmlns="http://schemas.openxmlformats.org/package/2006/relationships"><Relationship Type="http://schemas.openxmlformats.org/officeDocument/2006/relationships/table" Target="/xl/tables/table2.xml" Id="Rccee19d062d74548" /></Relationships>
</file>

<file path=xl/worksheets/_rels/sheet15.xml.rels>&#65279;<?xml version="1.0" encoding="utf-8"?><Relationships xmlns="http://schemas.openxmlformats.org/package/2006/relationships"><Relationship Type="http://schemas.openxmlformats.org/officeDocument/2006/relationships/table" Target="/xl/tables/table3.xml" Id="Rcb296decd9954ee8" /></Relationships>
</file>

<file path=xl/worksheets/_rels/sheet16.xml.rels>&#65279;<?xml version="1.0" encoding="utf-8"?><Relationships xmlns="http://schemas.openxmlformats.org/package/2006/relationships"><Relationship Type="http://schemas.openxmlformats.org/officeDocument/2006/relationships/table" Target="/xl/tables/table4.xml" Id="Rbc150aad93c24ba0" /></Relationships>
</file>

<file path=xl/worksheets/_rels/sheet17.xml.rels>&#65279;<?xml version="1.0" encoding="utf-8"?><Relationships xmlns="http://schemas.openxmlformats.org/package/2006/relationships"><Relationship Type="http://schemas.openxmlformats.org/officeDocument/2006/relationships/table" Target="/xl/tables/table5.xml" Id="Rb58637c193dd4fec" /></Relationships>
</file>

<file path=xl/worksheets/_rels/sheet18.xml.rels>&#65279;<?xml version="1.0" encoding="utf-8"?><Relationships xmlns="http://schemas.openxmlformats.org/package/2006/relationships"><Relationship Type="http://schemas.openxmlformats.org/officeDocument/2006/relationships/table" Target="/xl/tables/table6.xml" Id="R6f23d324e50f46c0" /></Relationships>
</file>

<file path=xl/worksheets/sheet1.xml><?xml version="1.0" encoding="utf-8"?>
<x:worksheet xmlns:x="http://schemas.openxmlformats.org/spreadsheetml/2006/main">
  <x:sheetFormatPr defaultRowHeight="15"/>
  <x:cols>
    <x:col min="1" max="1" width="28" hidden="0" customWidth="1"/>
    <x:col min="2" max="2" width="50" hidden="0" customWidth="1"/>
    <x:col min="3" max="3" width="20" hidden="0" customWidth="1"/>
    <x:col min="4" max="4" width="55" hidden="0" customWidth="1"/>
    <x:col min="5" max="5" width="18" hidden="0" customWidth="1"/>
    <x:col min="6" max="6" width="20" hidden="0" customWidth="1"/>
    <x:col min="7" max="7" width="18" hidden="0" customWidth="1"/>
    <x:col min="8" max="8" width="18" hidden="0" customWidth="1"/>
    <x:col min="9" max="9" width="12" hidden="0" customWidth="1"/>
    <x:col min="10" max="10" width="12" hidden="0" customWidth="1"/>
    <x:col min="11" max="11" width="12" hidden="0" customWidth="1"/>
    <x:col min="12" max="12" width="12" hidden="0" customWidth="1"/>
  </x:cols>
  <x:sheetData>
    <x:row r="1">
      <x:c r="A1" s="4" t="str">
        <x:v>CROSS-BRAND 120 • INGREDIENT &amp; CONCENTRATION REGISTER</x:v>
      </x:c>
      <x:c r="B1" s="4"/>
      <x:c r="C1" s="4"/>
      <x:c r="D1" s="4"/>
      <x:c r="E1" s="4"/>
      <x:c r="F1" s="4"/>
      <x:c r="G1" s="4"/>
      <x:c r="H1" s="4"/>
      <x:c r="I1" s="4"/>
      <x:c r="J1" s="4"/>
      <x:c r="K1" s="4"/>
      <x:c r="L1" s="4"/>
    </x:row>
    <x:row r="2">
      <x:c r="A2" s="11" t="str">
        <x:v>This workbook lists all 207 unique ingredients used across the 120-target formula book. The accompanying CSV contains every one of the 7,067 exact target-by-target formula rows. Commercial formulas remain computational candidates pending physical smell testing.</x:v>
      </x:c>
      <x:c r="B2" s="11"/>
      <x:c r="C2" s="11"/>
      <x:c r="D2" s="11"/>
      <x:c r="E2" s="11"/>
      <x:c r="F2" s="11"/>
      <x:c r="G2" s="11"/>
      <x:c r="H2" s="11"/>
      <x:c r="I2" s="11"/>
      <x:c r="J2" s="11"/>
      <x:c r="K2" s="11"/>
      <x:c r="L2" s="11"/>
    </x:row>
    <x:row r="3">
      <x:c r="A3" s="11"/>
      <x:c r="B3" s="11"/>
      <x:c r="C3" s="11"/>
      <x:c r="D3" s="11"/>
      <x:c r="E3" s="11"/>
      <x:c r="F3" s="11"/>
      <x:c r="G3" s="11"/>
      <x:c r="H3" s="11"/>
      <x:c r="I3" s="11"/>
      <x:c r="J3" s="11"/>
      <x:c r="K3" s="11"/>
      <x:c r="L3" s="11"/>
    </x:row>
    <x:row r="5">
      <x:c r="A5" s="18" t="str">
        <x:v>Unique ingredients</x:v>
      </x:c>
      <x:c r="B5" s="24" t="n">
        <x:v>207</x:v>
      </x:c>
      <x:c r="C5" s="18" t="str">
        <x:v>Exact formula rows</x:v>
      </x:c>
      <x:c r="D5" s="24" t="n">
        <x:v>7067</x:v>
      </x:c>
      <x:c r="E5" s="18" t="str">
        <x:v>Targets</x:v>
      </x:c>
      <x:c r="F5" s="24" t="n">
        <x:v>120</x:v>
      </x:c>
      <x:c r="G5" s="18" t="str">
        <x:v>Houses</x:v>
      </x:c>
      <x:c r="H5" s="24" t="n">
        <x:v>6</x:v>
      </x:c>
    </x:row>
    <x:row r="6">
      <x:c r="A6" s="18" t="str">
        <x:v>Unknown active fractions</x:v>
      </x:c>
      <x:c r="B6" s="24" t="n">
        <x:v>6</x:v>
      </x:c>
      <x:c r="C6" s="18" t="str">
        <x:v>Inventory-gap ingredients</x:v>
      </x:c>
      <x:c r="D6" s="24" t="n">
        <x:v>43</x:v>
      </x:c>
      <x:c r="E6" s="18" t="str">
        <x:v>Verify-label ingredients</x:v>
      </x:c>
      <x:c r="F6" s="24" t="n">
        <x:v>10</x:v>
      </x:c>
      <x:c r="G6" s="18" t="str">
        <x:v>Empirical passes</x:v>
      </x:c>
      <x:c r="H6" s="24" t="n">
        <x:v>0</x:v>
      </x:c>
    </x:row>
    <x:row r="7">
      <x:c r="A7" s="18" t="str">
        <x:v>Exact-row file</x:v>
      </x:c>
      <x:c r="B7" s="24" t="str">
        <x:v>CrossBrand_120_All_Formula_Rows.csv</x:v>
      </x:c>
      <x:c r="C7" s="18" t="str">
        <x:v>Concentration basis</x:v>
      </x:c>
      <x:c r="D7" s="24" t="str">
        <x:v>As supplied + active equivalent</x:v>
      </x:c>
      <x:c r="E7" s="18" t="str">
        <x:v>Formula units</x:v>
      </x:c>
      <x:c r="F7" s="24" t="str">
        <x:v>Parts / 1,000 and %</x:v>
      </x:c>
      <x:c r="G7" s="18" t="str">
        <x:v>Final releases</x:v>
      </x:c>
      <x:c r="H7" s="24" t="n">
        <x:v>0</x:v>
      </x:c>
    </x:row>
    <x:row r="10">
      <x:c r="A10" s="32" t="str">
        <x:v>Column</x:v>
      </x:c>
      <x:c r="B10" s="32" t="str">
        <x:v>Meaning</x:v>
      </x:c>
      <x:c r="C10" s="32" t="str">
        <x:v>Example</x:v>
      </x:c>
      <x:c r="D10" s="32" t="str">
        <x:v>Calculation</x:v>
      </x:c>
    </x:row>
    <x:row r="11">
      <x:c r="A11" s="39" t="str">
        <x:v>Parts / 1,000</x:v>
      </x:c>
      <x:c r="B11" s="39" t="str">
        <x:v>Supplied-stock share of the concentrate</x:v>
      </x:c>
      <x:c r="C11" s="39" t="n">
        <x:v>50</x:v>
      </x:c>
      <x:c r="D11" s="39" t="str">
        <x:v>50 / 1,000 = 5% concentrate</x:v>
      </x:c>
    </x:row>
    <x:row r="12">
      <x:c r="A12" s="39" t="str">
        <x:v>Finished stock %</x:v>
      </x:c>
      <x:c r="B12" s="39" t="str">
        <x:v>Supplied stock in the finished perfume</x:v>
      </x:c>
      <x:c r="C12" s="42" t="n">
        <x:v>0.01</x:v>
      </x:c>
      <x:c r="D12" s="39" t="str">
        <x:v>5% concentrate × 20% perfume = 1%</x:v>
      </x:c>
    </x:row>
    <x:row r="13">
      <x:c r="A13" s="39" t="str">
        <x:v>Finished active %</x:v>
      </x:c>
      <x:c r="B13" s="39" t="str">
        <x:v>Actual active material in finished perfume</x:v>
      </x:c>
      <x:c r="C13" s="42" t="n">
        <x:v>0.001</x:v>
      </x:c>
      <x:c r="D13" s="39" t="str">
        <x:v>1% finished stock × 10% stock strength = 0.1%</x:v>
      </x:c>
    </x:row>
    <x:row r="15">
      <x:c r="A15" s="129" t="str">
        <x:v>INVENTORY AUTHORITY NOTE</x:v>
      </x:c>
      <x:c r="B15" s="129" t="str">
        <x:v>Current stock and purchase-planning authority is Kenny_Current_Perfumery_Inventory_Master_Aug2026_v5.xlsx. V4 and older files remain historical. Missing-material ranks are planning hypotheses, not hedonic results.</x:v>
      </x:c>
      <x:c r="C15" s="129"/>
      <x:c r="D15" s="129"/>
      <x:c r="E15" s="129"/>
      <x:c r="F15" s="129"/>
      <x:c r="G15" s="129"/>
      <x:c r="H15" s="129"/>
      <x:c r="I15" s="129"/>
      <x:c r="J15" s="129"/>
    </x:row>
    <x:row r="16">
      <x:c r="A16"/>
      <x:c r="B16"/>
      <x:c r="C16"/>
      <x:c r="D16"/>
      <x:c r="E16"/>
      <x:c r="F16"/>
      <x:c r="G16"/>
      <x:c r="H16"/>
      <x:c r="I16"/>
      <x:c r="J16"/>
    </x:row>
    <x:row r="17">
      <x:c r="A17"/>
      <x:c r="B17"/>
      <x:c r="C17"/>
      <x:c r="D17"/>
      <x:c r="E17"/>
      <x:c r="F17"/>
      <x:c r="G17"/>
      <x:c r="H17"/>
      <x:c r="I17"/>
      <x:c r="J17"/>
    </x:row>
  </x:sheetData>
  <x:mergeCells>
    <x:mergeCell ref="A1:L1"/>
    <x:mergeCell ref="A2:L3"/>
  </x:mergeCells>
  <x:pageMargins left="0.7" right="0.7" top="0.75" bottom="0.75" header="0.3" footer="0.3"/>
</x:worksheet>
</file>

<file path=xl/worksheets/sheet2.xml><?xml version="1.0" encoding="utf-8"?>
<x:worksheet xmlns:x="http://schemas.openxmlformats.org/spreadsheetml/2006/main">
  <x:sheetFormatPr defaultRowHeight="15"/>
  <x:cols>
    <x:col min="1" max="1" width="31" hidden="0" customWidth="1"/>
    <x:col min="2" max="2" width="42" hidden="0" customWidth="1"/>
    <x:col min="3" max="3" width="13" hidden="0" customWidth="1"/>
    <x:col min="4" max="4" width="22" hidden="0" customWidth="1"/>
    <x:col min="5" max="5" width="29" hidden="0" customWidth="1"/>
    <x:col min="6" max="6" width="13" hidden="0" customWidth="1"/>
    <x:col min="7" max="7" width="11" hidden="0" customWidth="1"/>
    <x:col min="8" max="8" width="36" hidden="0" customWidth="1"/>
    <x:col min="9" max="9" width="15" hidden="0" customWidth="1"/>
    <x:col min="10" max="10" width="16" hidden="0" customWidth="1"/>
    <x:col min="11" max="11" width="15" hidden="0" customWidth="1"/>
    <x:col min="12" max="12" width="15" hidden="0" customWidth="1"/>
    <x:col min="13" max="13" width="15" hidden="0" customWidth="1"/>
    <x:col min="14" max="14" width="17" hidden="0" customWidth="1"/>
    <x:col min="15" max="15" width="15" hidden="0" customWidth="1"/>
    <x:col min="16" max="16" width="17" hidden="0" customWidth="1"/>
    <x:col min="17" max="17" width="19" hidden="0" customWidth="1"/>
    <x:col min="18" max="18" width="17" hidden="0" customWidth="1"/>
    <x:col min="19" max="19" width="18" hidden="0" customWidth="1"/>
    <x:col min="20" max="20" width="20" hidden="0" customWidth="1"/>
    <x:col min="21" max="21" width="18" hidden="0" customWidth="1"/>
    <x:col min="22" max="22" width="15" hidden="0" customWidth="1"/>
    <x:col min="23" max="23" width="13" hidden="0" customWidth="1"/>
    <x:col min="24" max="24" width="75" hidden="0" customWidth="1"/>
  </x:cols>
  <x:sheetData>
    <x:row r="1">
      <x:c r="A1" s="4" t="str">
        <x:v>ALL 207 UNIQUE INGREDIENTS • STOCK STRENGTH &amp; CONCENTRATION RANGES</x:v>
      </x:c>
      <x:c r="B1" s="4"/>
      <x:c r="C1" s="4"/>
      <x:c r="D1" s="4"/>
      <x:c r="E1" s="4"/>
      <x:c r="F1" s="4"/>
      <x:c r="G1" s="4"/>
      <x:c r="H1" s="4"/>
      <x:c r="I1" s="4"/>
      <x:c r="J1" s="4"/>
      <x:c r="K1" s="4"/>
      <x:c r="L1" s="4"/>
      <x:c r="M1" s="4"/>
      <x:c r="N1" s="4"/>
      <x:c r="O1" s="4"/>
      <x:c r="P1" s="4"/>
      <x:c r="Q1" s="4"/>
      <x:c r="R1" s="4"/>
      <x:c r="S1" s="4"/>
      <x:c r="T1" s="4"/>
      <x:c r="U1" s="4"/>
      <x:c r="V1" s="4"/>
      <x:c r="W1" s="4"/>
      <x:c r="X1" s="4"/>
    </x:row>
    <x:row r="2">
      <x:c r="A2" s="11" t="str">
        <x:v>Each row is one unique ingredient. Minimum, median and maximum values summarize every formula in which it appears. Blank active fractions mean proprietary or product-basis activity is unknown.</x:v>
      </x:c>
      <x:c r="B2" s="11"/>
      <x:c r="C2" s="11"/>
      <x:c r="D2" s="11"/>
      <x:c r="E2" s="11"/>
      <x:c r="F2" s="11"/>
      <x:c r="G2" s="11"/>
      <x:c r="H2" s="11"/>
      <x:c r="I2" s="11"/>
      <x:c r="J2" s="11"/>
      <x:c r="K2" s="11"/>
      <x:c r="L2" s="11"/>
      <x:c r="M2" s="11"/>
      <x:c r="N2" s="11"/>
      <x:c r="O2" s="11"/>
      <x:c r="P2" s="11"/>
      <x:c r="Q2" s="11"/>
      <x:c r="R2" s="11"/>
      <x:c r="S2" s="11"/>
      <x:c r="T2" s="11"/>
      <x:c r="U2" s="11"/>
      <x:c r="V2" s="11"/>
      <x:c r="W2" s="11"/>
      <x:c r="X2" s="11"/>
    </x:row>
    <x:row r="3">
      <x:c r="A3" s="11"/>
      <x:c r="B3" s="11"/>
      <x:c r="C3" s="11"/>
      <x:c r="D3" s="11"/>
      <x:c r="E3" s="11"/>
      <x:c r="F3" s="11"/>
      <x:c r="G3" s="11"/>
      <x:c r="H3" s="11"/>
      <x:c r="I3" s="11"/>
      <x:c r="J3" s="11"/>
      <x:c r="K3" s="11"/>
      <x:c r="L3" s="11"/>
      <x:c r="M3" s="11"/>
      <x:c r="N3" s="11"/>
      <x:c r="O3" s="11"/>
      <x:c r="P3" s="11"/>
      <x:c r="Q3" s="11"/>
      <x:c r="R3" s="11"/>
      <x:c r="S3" s="11"/>
      <x:c r="T3" s="11"/>
      <x:c r="U3" s="11"/>
      <x:c r="V3" s="11"/>
      <x:c r="W3" s="11"/>
      <x:c r="X3" s="11"/>
    </x:row>
    <x:row r="5">
      <x:c r="A5" s="32" t="str">
        <x:v>Ingredient</x:v>
      </x:c>
      <x:c r="B5" s="32" t="str">
        <x:v>Supplied / target stock</x:v>
      </x:c>
      <x:c r="C5" s="32" t="str">
        <x:v>Active fraction</x:v>
      </x:c>
      <x:c r="D5" s="32" t="str">
        <x:v>Family</x:v>
      </x:c>
      <x:c r="E5" s="32" t="str">
        <x:v>Execution</x:v>
      </x:c>
      <x:c r="F5" s="32" t="str">
        <x:v>Formula count</x:v>
      </x:c>
      <x:c r="G5" s="32" t="str">
        <x:v>Row uses</x:v>
      </x:c>
      <x:c r="H5" s="32" t="str">
        <x:v>Houses</x:v>
      </x:c>
      <x:c r="I5" s="32" t="str">
        <x:v>Min parts / 1000</x:v>
      </x:c>
      <x:c r="J5" s="32" t="str">
        <x:v>Median parts / 1000</x:v>
      </x:c>
      <x:c r="K5" s="32" t="str">
        <x:v>Mean parts / 1000</x:v>
      </x:c>
      <x:c r="L5" s="32" t="str">
        <x:v>Max parts / 1000</x:v>
      </x:c>
      <x:c r="M5" s="32" t="str">
        <x:v>Min concentrate %</x:v>
      </x:c>
      <x:c r="N5" s="32" t="str">
        <x:v>Median concentrate %</x:v>
      </x:c>
      <x:c r="O5" s="32" t="str">
        <x:v>Max concentrate %</x:v>
      </x:c>
      <x:c r="P5" s="32" t="str">
        <x:v>Min finished stock %</x:v>
      </x:c>
      <x:c r="Q5" s="32" t="str">
        <x:v>Median finished stock %</x:v>
      </x:c>
      <x:c r="R5" s="32" t="str">
        <x:v>Max finished stock %</x:v>
      </x:c>
      <x:c r="S5" s="32" t="str">
        <x:v>Min finished active %</x:v>
      </x:c>
      <x:c r="T5" s="32" t="str">
        <x:v>Median finished active %</x:v>
      </x:c>
      <x:c r="U5" s="32" t="str">
        <x:v>Max finished active %</x:v>
      </x:c>
      <x:c r="V5" s="32" t="str">
        <x:v>Inventory-gap uses</x:v>
      </x:c>
      <x:c r="W5" s="32" t="str">
        <x:v>Verify uses</x:v>
      </x:c>
      <x:c r="X5" s="32" t="str">
        <x:v>Target IDs</x:v>
      </x:c>
    </x:row>
    <x:row r="6" ht="40" customHeight="1">
      <x:c r="A6" s="44" t="str">
        <x:v>AAG 10%</x:v>
      </x:c>
      <x:c r="B6" s="44" t="str">
        <x:v>10% prepared from neat AAG</x:v>
      </x:c>
      <x:c r="C6" s="46" t="n">
        <x:v>0.1</x:v>
      </x:c>
      <x:c r="D6" s="44" t="str">
        <x:v>green_fruit</x:v>
      </x:c>
      <x:c r="E6" s="44" t="str">
        <x:v>PREPARED STOCK</x:v>
      </x:c>
      <x:c r="F6" s="44" t="n">
        <x:v>6</x:v>
      </x:c>
      <x:c r="G6" s="44" t="n">
        <x:v>6</x:v>
      </x:c>
      <x:c r="H6" s="44" t="str">
        <x:v>Dior, YSL</x:v>
      </x:c>
      <x:c r="I6" s="48" t="n">
        <x:v>17.894</x:v>
      </x:c>
      <x:c r="J6" s="48" t="n">
        <x:v>39.3145</x:v>
      </x:c>
      <x:c r="K6" s="48" t="n">
        <x:v>46.678</x:v>
      </x:c>
      <x:c r="L6" s="48" t="n">
        <x:v>87.942</x:v>
      </x:c>
      <x:c r="M6" s="46" t="n">
        <x:v>0.017894</x:v>
      </x:c>
      <x:c r="N6" s="46" t="n">
        <x:v>0.0393145</x:v>
      </x:c>
      <x:c r="O6" s="46" t="n">
        <x:v>0.087942</x:v>
      </x:c>
      <x:c r="P6" s="46" t="n">
        <x:v>0.0029636399999999996</x:v>
      </x:c>
      <x:c r="Q6" s="46" t="n">
        <x:v>0.00802867</x:v>
      </x:c>
      <x:c r="R6" s="46" t="n">
        <x:v>0.0175884</x:v>
      </x:c>
      <x:c r="S6" s="46" t="n">
        <x:v>0.00029636399999999997</x:v>
      </x:c>
      <x:c r="T6" s="46" t="n">
        <x:v>0.0008028670000000001</x:v>
      </x:c>
      <x:c r="U6" s="46" t="n">
        <x:v>0.0017588400000000002</x:v>
      </x:c>
      <x:c r="V6" s="44" t="n">
        <x:v>0</x:v>
      </x:c>
      <x:c r="W6" s="44" t="n">
        <x:v>0</x:v>
      </x:c>
      <x:c r="X6" s="44" t="str">
        <x:v>H05, H13, H15, Y02, Y10, Y13</x:v>
      </x:c>
    </x:row>
    <x:row r="7" ht="40" customHeight="1">
      <x:c r="A7" s="44" t="str">
        <x:v>Aldehyde C10 1%</x:v>
      </x:c>
      <x:c r="B7" s="44" t="str">
        <x:v>1% working stock</x:v>
      </x:c>
      <x:c r="C7" s="46" t="n">
        <x:v>0.01</x:v>
      </x:c>
      <x:c r="D7" s="44" t="str">
        <x:v>citrus_top</x:v>
      </x:c>
      <x:c r="E7" s="44" t="str">
        <x:v>PREPARED STOCK</x:v>
      </x:c>
      <x:c r="F7" s="44" t="n">
        <x:v>26</x:v>
      </x:c>
      <x:c r="G7" s="44" t="n">
        <x:v>26</x:v>
      </x:c>
      <x:c r="H7" s="44" t="str">
        <x:v>CHANEL, Kenny Originals, YSL</x:v>
      </x:c>
      <x:c r="I7" s="48" t="n">
        <x:v>0.077</x:v>
      </x:c>
      <x:c r="J7" s="48" t="n">
        <x:v>0.322</x:v>
      </x:c>
      <x:c r="K7" s="48" t="n">
        <x:v>1.9810384615384615</x:v>
      </x:c>
      <x:c r="L7" s="48" t="n">
        <x:v>25</x:v>
      </x:c>
      <x:c r="M7" s="46" t="n">
        <x:v>0.000077</x:v>
      </x:c>
      <x:c r="N7" s="46" t="n">
        <x:v>0.0003220000000000001</x:v>
      </x:c>
      <x:c r="O7" s="46" t="n">
        <x:v>0.025</x:v>
      </x:c>
      <x:c r="P7" s="46" t="n">
        <x:v>0.00001116</x:v>
      </x:c>
      <x:c r="Q7" s="46" t="n">
        <x:v>0.00006395</x:v>
      </x:c>
      <x:c r="R7" s="46" t="n">
        <x:v>0.0025</x:v>
      </x:c>
      <x:c r="S7" s="46" t="n">
        <x:v>1.116e-7</x:v>
      </x:c>
      <x:c r="T7" s="46" t="n">
        <x:v>6.395000000000001e-7</x:v>
      </x:c>
      <x:c r="U7" s="46" t="n">
        <x:v>0.000025</x:v>
      </x:c>
      <x:c r="V7" s="44" t="n">
        <x:v>0</x:v>
      </x:c>
      <x:c r="W7" s="44" t="n">
        <x:v>0</x:v>
      </x:c>
      <x:c r="X7" s="44" t="str">
        <x:v>C01, C02, C03, C04, C06, C07, C08, O01, O02, O03, O04, O05, O06, Y01, Y02, Y04, Y05, Y06, Y07, Y08, Y09, Y10, Y11, Y12, Y13, Y14</x:v>
      </x:c>
    </x:row>
    <x:row r="8" ht="40" customHeight="1">
      <x:c r="A8" s="44" t="str">
        <x:v>Aldehyde C10 10%</x:v>
      </x:c>
      <x:c r="B8" s="44" t="str">
        <x:v>10% working dilution</x:v>
      </x:c>
      <x:c r="C8" s="46" t="n">
        <x:v>0.1</x:v>
      </x:c>
      <x:c r="D8" s="44" t="str">
        <x:v>Citrus top</x:v>
      </x:c>
      <x:c r="E8" s="44" t="str">
        <x:v>PREPARED STOCK</x:v>
      </x:c>
      <x:c r="F8" s="44" t="n">
        <x:v>27</x:v>
      </x:c>
      <x:c r="G8" s="44" t="n">
        <x:v>27</x:v>
      </x:c>
      <x:c r="H8" s="44" t="str">
        <x:v>Amouage, Dior, Prada</x:v>
      </x:c>
      <x:c r="I8" s="48" t="n">
        <x:v>0.107</x:v>
      </x:c>
      <x:c r="J8" s="48" t="n">
        <x:v>1.376</x:v>
      </x:c>
      <x:c r="K8" s="48" t="n">
        <x:v>5.585</x:v>
      </x:c>
      <x:c r="L8" s="48" t="n">
        <x:v>102.504</x:v>
      </x:c>
      <x:c r="M8" s="46" t="n">
        <x:v>0.000107</x:v>
      </x:c>
      <x:c r="N8" s="46" t="n">
        <x:v>0.001376</x:v>
      </x:c>
      <x:c r="O8" s="46" t="n">
        <x:v>0.10250400000000001</x:v>
      </x:c>
      <x:c r="P8" s="46" t="n">
        <x:v>0.000056710000000000004</x:v>
      </x:c>
      <x:c r="Q8" s="46" t="n">
        <x:v>0.00041279999999999995</x:v>
      </x:c>
      <x:c r="R8" s="46" t="n">
        <x:v>0.022550880000000002</x:v>
      </x:c>
      <x:c r="S8" s="46" t="n">
        <x:v>0.000005671</x:v>
      </x:c>
      <x:c r="T8" s="46" t="n">
        <x:v>0.00004128</x:v>
      </x:c>
      <x:c r="U8" s="46" t="n">
        <x:v>0.0022550880000000006</x:v>
      </x:c>
      <x:c r="V8" s="44" t="n">
        <x:v>0</x:v>
      </x:c>
      <x:c r="W8" s="44" t="n">
        <x:v>0</x:v>
      </x:c>
      <x:c r="X8" s="44" t="str">
        <x:v>AM-E04, AM-E12, AM-E13, AM-E16, AM-L01, AM-L02, AM-L03, AM-L07, AM-N01, AM-N02, AM-N04, AM-N06, AM-N07, AM-N13, AM-N14, AM-N15, H09, PR-E01, PR-E05, PR-L02, PR-N03, PR-N08, PR-N09, PR-N10, PR-N11, PR-N12, PR-N13</x:v>
      </x:c>
    </x:row>
    <x:row r="9" ht="40" customHeight="1">
      <x:c r="A9" s="44" t="str">
        <x:v>Aldehyde C11 1%</x:v>
      </x:c>
      <x:c r="B9" s="44" t="str">
        <x:v>1% working stock</x:v>
      </x:c>
      <x:c r="C9" s="46" t="n">
        <x:v>0.01</x:v>
      </x:c>
      <x:c r="D9" s="44" t="str">
        <x:v>citrus_top</x:v>
      </x:c>
      <x:c r="E9" s="44" t="str">
        <x:v>PREPARED STOCK</x:v>
      </x:c>
      <x:c r="F9" s="44" t="n">
        <x:v>26</x:v>
      </x:c>
      <x:c r="G9" s="44" t="n">
        <x:v>26</x:v>
      </x:c>
      <x:c r="H9" s="44" t="str">
        <x:v>CHANEL, Kenny Originals, YSL</x:v>
      </x:c>
      <x:c r="I9" s="48" t="n">
        <x:v>0.063</x:v>
      </x:c>
      <x:c r="J9" s="48" t="n">
        <x:v>0.39</x:v>
      </x:c>
      <x:c r="K9" s="48" t="n">
        <x:v>1.0615</x:v>
      </x:c>
      <x:c r="L9" s="48" t="n">
        <x:v>9.736</x:v>
      </x:c>
      <x:c r="M9" s="46" t="n">
        <x:v>0.000063</x:v>
      </x:c>
      <x:c r="N9" s="46" t="n">
        <x:v>0.00039</x:v>
      </x:c>
      <x:c r="O9" s="46" t="n">
        <x:v>0.009736</x:v>
      </x:c>
      <x:c r="P9" s="46" t="n">
        <x:v>0.000012600000000000001</x:v>
      </x:c>
      <x:c r="Q9" s="46" t="n">
        <x:v>0.00007005</x:v>
      </x:c>
      <x:c r="R9" s="46" t="n">
        <x:v>0.0009736000000000001</x:v>
      </x:c>
      <x:c r="S9" s="46" t="n">
        <x:v>1.2600000000000002e-7</x:v>
      </x:c>
      <x:c r="T9" s="46" t="n">
        <x:v>7.004999999999999e-7</x:v>
      </x:c>
      <x:c r="U9" s="46" t="n">
        <x:v>0.000009736000000000001</x:v>
      </x:c>
      <x:c r="V9" s="44" t="n">
        <x:v>0</x:v>
      </x:c>
      <x:c r="W9" s="44" t="n">
        <x:v>0</x:v>
      </x:c>
      <x:c r="X9" s="44" t="str">
        <x:v>C01, C02, C03, C04, C06, C07, C08, O02, O03, O04, O05, O06, Y01, Y02, Y03, Y04, Y05, Y06, Y07, Y08, Y09, Y10, Y11, Y12, Y13, Y14</x:v>
      </x:c>
    </x:row>
    <x:row r="10" ht="40" customHeight="1">
      <x:c r="A10" s="44" t="str">
        <x:v>Aldehyde C11 10%</x:v>
      </x:c>
      <x:c r="B10" s="44" t="str">
        <x:v>10% working dilution</x:v>
      </x:c>
      <x:c r="C10" s="46" t="n">
        <x:v>0.1</x:v>
      </x:c>
      <x:c r="D10" s="44" t="str">
        <x:v>Citrus top</x:v>
      </x:c>
      <x:c r="E10" s="44" t="str">
        <x:v>PREPARED STOCK</x:v>
      </x:c>
      <x:c r="F10" s="44" t="n">
        <x:v>19</x:v>
      </x:c>
      <x:c r="G10" s="44" t="n">
        <x:v>19</x:v>
      </x:c>
      <x:c r="H10" s="44" t="str">
        <x:v>Amouage, Dior, Prada</x:v>
      </x:c>
      <x:c r="I10" s="48" t="n">
        <x:v>0.378</x:v>
      </x:c>
      <x:c r="J10" s="48" t="n">
        <x:v>1.278</x:v>
      </x:c>
      <x:c r="K10" s="48" t="n">
        <x:v>5.637052631578947</x:v>
      </x:c>
      <x:c r="L10" s="48" t="n">
        <x:v>79.086</x:v>
      </x:c>
      <x:c r="M10" s="46" t="n">
        <x:v>0.000378</x:v>
      </x:c>
      <x:c r="N10" s="46" t="n">
        <x:v>0.001278</x:v>
      </x:c>
      <x:c r="O10" s="46" t="n">
        <x:v>0.079086</x:v>
      </x:c>
      <x:c r="P10" s="46" t="n">
        <x:v>0.000060899999999999996</x:v>
      </x:c>
      <x:c r="Q10" s="46" t="n">
        <x:v>0.00032300000000000004</x:v>
      </x:c>
      <x:c r="R10" s="46" t="n">
        <x:v>0.01739892</x:v>
      </x:c>
      <x:c r="S10" s="46" t="n">
        <x:v>0.000006090000000000001</x:v>
      </x:c>
      <x:c r="T10" s="46" t="n">
        <x:v>0.0000323</x:v>
      </x:c>
      <x:c r="U10" s="46" t="n">
        <x:v>0.001739892</x:v>
      </x:c>
      <x:c r="V10" s="44" t="n">
        <x:v>0</x:v>
      </x:c>
      <x:c r="W10" s="44" t="n">
        <x:v>0</x:v>
      </x:c>
      <x:c r="X10" s="44" t="str">
        <x:v>AM-E12, AM-E13, AM-E16, AM-L01, AM-L02, AM-N02, AM-N04, AM-N06, AM-N13, AM-N14, AM-N15, H09, PR-E01, PR-L02, PR-N03, PR-N08, PR-N10, PR-N12, PR-N13</x:v>
      </x:c>
    </x:row>
    <x:row r="11" ht="40" customHeight="1">
      <x:c r="A11" s="44" t="str">
        <x:v>Aldehyde C12 MNA 1%</x:v>
      </x:c>
      <x:c r="B11" s="44" t="str">
        <x:v>1% working stock</x:v>
      </x:c>
      <x:c r="C11" s="46" t="n">
        <x:v>0.01</x:v>
      </x:c>
      <x:c r="D11" s="44" t="str">
        <x:v>citrus_top</x:v>
      </x:c>
      <x:c r="E11" s="44" t="str">
        <x:v>PREPARED STOCK</x:v>
      </x:c>
      <x:c r="F11" s="44" t="n">
        <x:v>28</x:v>
      </x:c>
      <x:c r="G11" s="44" t="n">
        <x:v>28</x:v>
      </x:c>
      <x:c r="H11" s="44" t="str">
        <x:v>CHANEL, Dior, Kenny Originals, YSL</x:v>
      </x:c>
      <x:c r="I11" s="48" t="n">
        <x:v>0.115</x:v>
      </x:c>
      <x:c r="J11" s="48" t="n">
        <x:v>0.406</x:v>
      </x:c>
      <x:c r="K11" s="48" t="n">
        <x:v>0.9186071428571428</x:v>
      </x:c>
      <x:c r="L11" s="48" t="n">
        <x:v>9.736</x:v>
      </x:c>
      <x:c r="M11" s="46" t="n">
        <x:v>0.000115</x:v>
      </x:c>
      <x:c r="N11" s="46" t="n">
        <x:v>0.00040599999999999995</x:v>
      </x:c>
      <x:c r="O11" s="46" t="n">
        <x:v>0.009736</x:v>
      </x:c>
      <x:c r="P11" s="46" t="n">
        <x:v>0.00001656</x:v>
      </x:c>
      <x:c r="Q11" s="46" t="n">
        <x:v>0.00007206</x:v>
      </x:c>
      <x:c r="R11" s="46" t="n">
        <x:v>0.0009736000000000001</x:v>
      </x:c>
      <x:c r="S11" s="46" t="n">
        <x:v>1.656e-7</x:v>
      </x:c>
      <x:c r="T11" s="46" t="n">
        <x:v>7.205999999999999e-7</x:v>
      </x:c>
      <x:c r="U11" s="46" t="n">
        <x:v>0.000009736000000000001</x:v>
      </x:c>
      <x:c r="V11" s="44" t="n">
        <x:v>0</x:v>
      </x:c>
      <x:c r="W11" s="44" t="n">
        <x:v>0</x:v>
      </x:c>
      <x:c r="X11" s="44" t="str">
        <x:v>C01, C02, C03, C04, C06, C07, H10, H14, H15, O03, O04, O05, O06, S01, S02, S04, S08, Y02, Y04, Y05, Y06, Y07, Y09, Y10, Y11, Y12, Y13, Y14</x:v>
      </x:c>
    </x:row>
    <x:row r="12" ht="40" customHeight="1">
      <x:c r="A12" s="44" t="str">
        <x:v>Aldehyde C12 MNA 10%</x:v>
      </x:c>
      <x:c r="B12" s="44" t="str">
        <x:v>10% working dilution</x:v>
      </x:c>
      <x:c r="C12" s="46" t="n">
        <x:v>0.1</x:v>
      </x:c>
      <x:c r="D12" s="44" t="str">
        <x:v>Citrus top</x:v>
      </x:c>
      <x:c r="E12" s="44" t="str">
        <x:v>PREPARED STOCK</x:v>
      </x:c>
      <x:c r="F12" s="44" t="n">
        <x:v>15</x:v>
      </x:c>
      <x:c r="G12" s="44" t="n">
        <x:v>15</x:v>
      </x:c>
      <x:c r="H12" s="44" t="str">
        <x:v>Amouage, Dior, Prada</x:v>
      </x:c>
      <x:c r="I12" s="48" t="n">
        <x:v>0.393</x:v>
      </x:c>
      <x:c r="J12" s="48" t="n">
        <x:v>1.068</x:v>
      </x:c>
      <x:c r="K12" s="48" t="n">
        <x:v>5.059200000000001</x:v>
      </x:c>
      <x:c r="L12" s="48" t="n">
        <x:v>59.215</x:v>
      </x:c>
      <x:c r="M12" s="46" t="n">
        <x:v>0.000393</x:v>
      </x:c>
      <x:c r="N12" s="46" t="n">
        <x:v>0.0010680000000000002</x:v>
      </x:c>
      <x:c r="O12" s="46" t="n">
        <x:v>0.059215</x:v>
      </x:c>
      <x:c r="P12" s="46" t="n">
        <x:v>0.00005895</x:v>
      </x:c>
      <x:c r="Q12" s="46" t="n">
        <x:v>0.0002346</x:v>
      </x:c>
      <x:c r="R12" s="46" t="n">
        <x:v>0.013027299999999999</x:v>
      </x:c>
      <x:c r="S12" s="46" t="n">
        <x:v>0.000005895</x:v>
      </x:c>
      <x:c r="T12" s="46" t="n">
        <x:v>0.000023460000000000006</x:v>
      </x:c>
      <x:c r="U12" s="46" t="n">
        <x:v>0.00130273</x:v>
      </x:c>
      <x:c r="V12" s="44" t="n">
        <x:v>0</x:v>
      </x:c>
      <x:c r="W12" s="44" t="n">
        <x:v>0</x:v>
      </x:c>
      <x:c r="X12" s="44" t="str">
        <x:v>AM-E12, AM-E16, AM-L01, AM-L02, AM-N02, AM-N04, AM-N06, AM-N14, AM-N15, H09, PR-E01, PR-L02, PR-N03, PR-N08, PR-N10</x:v>
      </x:c>
    </x:row>
    <x:row r="13" ht="40" customHeight="1">
      <x:c r="A13" s="44" t="str">
        <x:v>Aldehyde C16 EMPG 10%</x:v>
      </x:c>
      <x:c r="B13" s="44" t="str">
        <x:v>10% working dilution</x:v>
      </x:c>
      <x:c r="C13" s="46" t="n">
        <x:v>0.1</x:v>
      </x:c>
      <x:c r="D13" s="44" t="str">
        <x:v>Green fruit</x:v>
      </x:c>
      <x:c r="E13" s="44" t="str">
        <x:v>PREPARED STOCK</x:v>
      </x:c>
      <x:c r="F13" s="44" t="n">
        <x:v>10</x:v>
      </x:c>
      <x:c r="G13" s="44" t="n">
        <x:v>10</x:v>
      </x:c>
      <x:c r="H13" s="44" t="str">
        <x:v>Amouage</x:v>
      </x:c>
      <x:c r="I13" s="48" t="n">
        <x:v>0.899</x:v>
      </x:c>
      <x:c r="J13" s="48" t="n">
        <x:v>3.5650000000000004</x:v>
      </x:c>
      <x:c r="K13" s="48" t="n">
        <x:v>4.2166</x:v>
      </x:c>
      <x:c r="L13" s="48" t="n">
        <x:v>9.747</x:v>
      </x:c>
      <x:c r="M13" s="46" t="n">
        <x:v>0.0008990000000000001</x:v>
      </x:c>
      <x:c r="N13" s="46" t="n">
        <x:v>0.0035650000000000005</x:v>
      </x:c>
      <x:c r="O13" s="46" t="n">
        <x:v>0.009747</x:v>
      </x:c>
      <x:c r="P13" s="46" t="n">
        <x:v>0.00017980000000000003</x:v>
      </x:c>
      <x:c r="Q13" s="46" t="n">
        <x:v>0.0008385999999999999</x:v>
      </x:c>
      <x:c r="R13" s="46" t="n">
        <x:v>0.004483620000000001</x:v>
      </x:c>
      <x:c r="S13" s="46" t="n">
        <x:v>0.000017980000000000004</x:v>
      </x:c>
      <x:c r="T13" s="46" t="n">
        <x:v>0.00008386</x:v>
      </x:c>
      <x:c r="U13" s="46" t="n">
        <x:v>0.00044836200000000006</x:v>
      </x:c>
      <x:c r="V13" s="44" t="n">
        <x:v>0</x:v>
      </x:c>
      <x:c r="W13" s="44" t="n">
        <x:v>0</x:v>
      </x:c>
      <x:c r="X13" s="44" t="str">
        <x:v>AM-E02, AM-E06, AM-E13, AM-L02, AM-L04, AM-N03, AM-N06, AM-N09, AM-N10, AM-N13</x:v>
      </x:c>
    </x:row>
    <x:row r="14" ht="40" customHeight="1">
      <x:c r="A14" s="44" t="str">
        <x:v>Allyl Cyclohexyl Propionate 10%</x:v>
      </x:c>
      <x:c r="B14" s="44" t="str">
        <x:v>10% working stock</x:v>
      </x:c>
      <x:c r="C14" s="46" t="n">
        <x:v>0.1</x:v>
      </x:c>
      <x:c r="D14" s="44" t="str">
        <x:v>Green / fruit</x:v>
      </x:c>
      <x:c r="E14" s="44" t="str">
        <x:v>PREPARED STOCK</x:v>
      </x:c>
      <x:c r="F14" s="44" t="n">
        <x:v>11</x:v>
      </x:c>
      <x:c r="G14" s="44" t="n">
        <x:v>11</x:v>
      </x:c>
      <x:c r="H14" s="44" t="str">
        <x:v>Amouage, Dior</x:v>
      </x:c>
      <x:c r="I14" s="48" t="n">
        <x:v>1.904</x:v>
      </x:c>
      <x:c r="J14" s="48" t="n">
        <x:v>4.56</x:v>
      </x:c>
      <x:c r="K14" s="48" t="n">
        <x:v>8.038727272727273</x:v>
      </x:c>
      <x:c r="L14" s="48" t="n">
        <x:v>19.709</x:v>
      </x:c>
      <x:c r="M14" s="46" t="n">
        <x:v>0.0019039999999999999</x:v>
      </x:c>
      <x:c r="N14" s="46" t="n">
        <x:v>0.00456</x:v>
      </x:c>
      <x:c r="O14" s="46" t="n">
        <x:v>0.019708999999999997</x:v>
      </x:c>
      <x:c r="P14" s="46" t="n">
        <x:v>0.00038080000000000004</x:v>
      </x:c>
      <x:c r="Q14" s="46" t="n">
        <x:v>0.0013959300000000003</x:v>
      </x:c>
      <x:c r="R14" s="46" t="n">
        <x:v>0.007883600000000001</x:v>
      </x:c>
      <x:c r="S14" s="46" t="n">
        <x:v>0.00003808000000000001</x:v>
      </x:c>
      <x:c r="T14" s="46" t="n">
        <x:v>0.00013959300000000003</x:v>
      </x:c>
      <x:c r="U14" s="46" t="n">
        <x:v>0.0007883600000000002</x:v>
      </x:c>
      <x:c r="V14" s="44" t="n">
        <x:v>0</x:v>
      </x:c>
      <x:c r="W14" s="44" t="n">
        <x:v>0</x:v>
      </x:c>
      <x:c r="X14" s="44" t="str">
        <x:v>AM-E01, AM-E02, AM-E05, AM-E06, AM-L02, AM-L04, AM-N03, AM-N06, AM-N09, AM-N10, H05</x:v>
      </x:c>
    </x:row>
    <x:row r="15" ht="40" customHeight="1">
      <x:c r="A15" s="44" t="str">
        <x:v>Allyl Ionone 10%</x:v>
      </x:c>
      <x:c r="B15" s="44" t="str">
        <x:v>10% working dilution</x:v>
      </x:c>
      <x:c r="C15" s="46" t="n">
        <x:v>0.1</x:v>
      </x:c>
      <x:c r="D15" s="44" t="str">
        <x:v>Orris / Violet</x:v>
      </x:c>
      <x:c r="E15" s="44" t="str">
        <x:v>PREPARED STOCK</x:v>
      </x:c>
      <x:c r="F15" s="44" t="n">
        <x:v>1</x:v>
      </x:c>
      <x:c r="G15" s="44" t="n">
        <x:v>1</x:v>
      </x:c>
      <x:c r="H15" s="44" t="str">
        <x:v>Prada</x:v>
      </x:c>
      <x:c r="I15" s="48" t="n">
        <x:v>0.691</x:v>
      </x:c>
      <x:c r="J15" s="48" t="n">
        <x:v>0.691</x:v>
      </x:c>
      <x:c r="K15" s="48" t="n">
        <x:v>0.691</x:v>
      </x:c>
      <x:c r="L15" s="48" t="n">
        <x:v>0.691</x:v>
      </x:c>
      <x:c r="M15" s="46" t="n">
        <x:v>0.000691</x:v>
      </x:c>
      <x:c r="N15" s="46" t="n">
        <x:v>0.000691</x:v>
      </x:c>
      <x:c r="O15" s="46" t="n">
        <x:v>0.000691</x:v>
      </x:c>
      <x:c r="P15" s="46" t="n">
        <x:v>0.00010365</x:v>
      </x:c>
      <x:c r="Q15" s="46" t="n">
        <x:v>0.00010365</x:v>
      </x:c>
      <x:c r="R15" s="46" t="n">
        <x:v>0.00010365</x:v>
      </x:c>
      <x:c r="S15" s="46" t="n">
        <x:v>0.000010364999999999998</x:v>
      </x:c>
      <x:c r="T15" s="46" t="n">
        <x:v>0.000010364999999999998</x:v>
      </x:c>
      <x:c r="U15" s="46" t="n">
        <x:v>0.000010364999999999998</x:v>
      </x:c>
      <x:c r="V15" s="44" t="n">
        <x:v>0</x:v>
      </x:c>
      <x:c r="W15" s="44" t="n">
        <x:v>0</x:v>
      </x:c>
      <x:c r="X15" s="44" t="str">
        <x:v>PR-N11</x:v>
      </x:c>
    </x:row>
    <x:row r="16" ht="40" customHeight="1">
      <x:c r="A16" s="44" t="str">
        <x:v>Alpha Ionone</x:v>
      </x:c>
      <x:c r="B16" s="44" t="str">
        <x:v>neat / as supplied</x:v>
      </x:c>
      <x:c r="C16" s="46" t="n">
        <x:v>1</x:v>
      </x:c>
      <x:c r="D16" s="44" t="str">
        <x:v>orris_violet</x:v>
      </x:c>
      <x:c r="E16" s="44" t="str">
        <x:v>DIRECT</x:v>
      </x:c>
      <x:c r="F16" s="44" t="n">
        <x:v>31</x:v>
      </x:c>
      <x:c r="G16" s="44" t="n">
        <x:v>31</x:v>
      </x:c>
      <x:c r="H16" s="44" t="str">
        <x:v>Amouage, Dior, Kenny Originals, Prada</x:v>
      </x:c>
      <x:c r="I16" s="48" t="n">
        <x:v>0.167</x:v>
      </x:c>
      <x:c r="J16" s="48" t="n">
        <x:v>7.614</x:v>
      </x:c>
      <x:c r="K16" s="48" t="n">
        <x:v>7.042935483870968</x:v>
      </x:c>
      <x:c r="L16" s="48" t="n">
        <x:v>18.575</x:v>
      </x:c>
      <x:c r="M16" s="46" t="n">
        <x:v>0.000167</x:v>
      </x:c>
      <x:c r="N16" s="46" t="n">
        <x:v>0.007613999999999999</x:v>
      </x:c>
      <x:c r="O16" s="46" t="n">
        <x:v>0.018574999999999998</x:v>
      </x:c>
      <x:c r="P16" s="46" t="n">
        <x:v>0.00004464</x:v>
      </x:c>
      <x:c r="Q16" s="46" t="n">
        <x:v>0.0013651499999999999</x:v>
      </x:c>
      <x:c r="R16" s="46" t="n">
        <x:v>0.0035797500000000005</x:v>
      </x:c>
      <x:c r="S16" s="46" t="n">
        <x:v>0.00004464</x:v>
      </x:c>
      <x:c r="T16" s="46" t="n">
        <x:v>0.0013651499999999999</x:v>
      </x:c>
      <x:c r="U16" s="46" t="n">
        <x:v>0.0035797500000000005</x:v>
      </x:c>
      <x:c r="V16" s="44" t="n">
        <x:v>0</x:v>
      </x:c>
      <x:c r="W16" s="44" t="n">
        <x:v>0</x:v>
      </x:c>
      <x:c r="X16" s="44" t="str">
        <x:v>AM-E01, AM-E02, AM-E05, AM-E06, AM-E08, AM-E09, AM-E10, AM-L04, AM-L07, AM-L08, AM-L09, AM-N01, AM-N04, AM-N05, AM-N06, AM-N12, AM-N16, H01, H02, H04, H05, H06, H07, H08, O01, O02, O03, O04, PR-E02, PR-N02, PR-N11</x:v>
      </x:c>
    </x:row>
    <x:row r="17" ht="40" customHeight="1">
      <x:c r="A17" s="44" t="str">
        <x:v>Alpha Irone 10%</x:v>
      </x:c>
      <x:c r="B17" s="44" t="str">
        <x:v>10% working stock</x:v>
      </x:c>
      <x:c r="C17" s="46" t="n">
        <x:v>0.1</x:v>
      </x:c>
      <x:c r="D17" s="44" t="str">
        <x:v>Iris / violet</x:v>
      </x:c>
      <x:c r="E17" s="44" t="str">
        <x:v>PREPARED STOCK</x:v>
      </x:c>
      <x:c r="F17" s="44" t="n">
        <x:v>12</x:v>
      </x:c>
      <x:c r="G17" s="44" t="n">
        <x:v>12</x:v>
      </x:c>
      <x:c r="H17" s="44" t="str">
        <x:v>Amouage, Prada</x:v>
      </x:c>
      <x:c r="I17" s="48" t="n">
        <x:v>0.122</x:v>
      </x:c>
      <x:c r="J17" s="48" t="n">
        <x:v>10.3895</x:v>
      </x:c>
      <x:c r="K17" s="48" t="n">
        <x:v>7.959833333333333</x:v>
      </x:c>
      <x:c r="L17" s="48" t="n">
        <x:v>17.172</x:v>
      </x:c>
      <x:c r="M17" s="46" t="n">
        <x:v>0.00012199999999999998</x:v>
      </x:c>
      <x:c r="N17" s="46" t="n">
        <x:v>0.010389500000000001</x:v>
      </x:c>
      <x:c r="O17" s="46" t="n">
        <x:v>0.017172</x:v>
      </x:c>
      <x:c r="P17" s="46" t="n">
        <x:v>0.0000183</x:v>
      </x:c>
      <x:c r="Q17" s="46" t="n">
        <x:v>0.002162075</x:v>
      </x:c>
      <x:c r="R17" s="46" t="n">
        <x:v>0.0059283</x:v>
      </x:c>
      <x:c r="S17" s="46" t="n">
        <x:v>0.00000183</x:v>
      </x:c>
      <x:c r="T17" s="46" t="n">
        <x:v>0.0002162075</x:v>
      </x:c>
      <x:c r="U17" s="46" t="n">
        <x:v>0.00059283</x:v>
      </x:c>
      <x:c r="V17" s="44" t="n">
        <x:v>0</x:v>
      </x:c>
      <x:c r="W17" s="44" t="n">
        <x:v>0</x:v>
      </x:c>
      <x:c r="X17" s="44" t="str">
        <x:v>AM-E01, AM-E09, AM-E10, AM-L08, AM-N01, AM-N12, AM-N16, PR-L03, PR-N02, PR-N08, PR-N10, PR-N11</x:v>
      </x:c>
    </x:row>
    <x:row r="18" ht="40" customHeight="1">
      <x:c r="A18" s="44" t="str">
        <x:v>Alpha Irone 30%</x:v>
      </x:c>
      <x:c r="B18" s="44" t="str">
        <x:v>30% w/w in IPM</x:v>
      </x:c>
      <x:c r="C18" s="46" t="n">
        <x:v>0.3</x:v>
      </x:c>
      <x:c r="D18" s="44" t="str">
        <x:v>orris_violet</x:v>
      </x:c>
      <x:c r="E18" s="44" t="str">
        <x:v>TRACE PREMIX</x:v>
      </x:c>
      <x:c r="F18" s="44" t="n">
        <x:v>21</x:v>
      </x:c>
      <x:c r="G18" s="44" t="n">
        <x:v>21</x:v>
      </x:c>
      <x:c r="H18" s="44" t="str">
        <x:v>CHANEL, Dior, Kenny Originals, Prada, YSL</x:v>
      </x:c>
      <x:c r="I18" s="48" t="n">
        <x:v>0.053</x:v>
      </x:c>
      <x:c r="J18" s="48" t="n">
        <x:v>1.559</x:v>
      </x:c>
      <x:c r="K18" s="48" t="n">
        <x:v>4.018285714285715</x:v>
      </x:c>
      <x:c r="L18" s="48" t="n">
        <x:v>24.796</x:v>
      </x:c>
      <x:c r="M18" s="46" t="n">
        <x:v>0.000053</x:v>
      </x:c>
      <x:c r="N18" s="46" t="n">
        <x:v>0.0015589999999999998</x:v>
      </x:c>
      <x:c r="O18" s="46" t="n">
        <x:v>0.024796</x:v>
      </x:c>
      <x:c r="P18" s="46" t="n">
        <x:v>0.000008849999999999998</x:v>
      </x:c>
      <x:c r="Q18" s="46" t="n">
        <x:v>0.00034298</x:v>
      </x:c>
      <x:c r="R18" s="46" t="n">
        <x:v>0.00572775</x:v>
      </x:c>
      <x:c r="S18" s="46" t="n">
        <x:v>0.0000026549999999999996</x:v>
      </x:c>
      <x:c r="T18" s="46" t="n">
        <x:v>0.00010289400000000001</x:v>
      </x:c>
      <x:c r="U18" s="46" t="n">
        <x:v>0.001718325</x:v>
      </x:c>
      <x:c r="V18" s="44" t="n">
        <x:v>0</x:v>
      </x:c>
      <x:c r="W18" s="44" t="n">
        <x:v>0</x:v>
      </x:c>
      <x:c r="X18" s="44" t="str">
        <x:v>C01, C03, H01, H02, H04, H05, H06, H07, H08, O01, O02, O04, PR-E02, PR-L04, Y06, Y07, Y09, Y10, Y11, Y12, Y13</x:v>
      </x:c>
    </x:row>
    <x:row r="19" ht="40" customHeight="1">
      <x:c r="A19" s="44" t="str">
        <x:v>Alpha Isomethyl Ionone</x:v>
      </x:c>
      <x:c r="B19" s="44" t="str">
        <x:v>neat / as supplied</x:v>
      </x:c>
      <x:c r="C19" s="46" t="n">
        <x:v>1</x:v>
      </x:c>
      <x:c r="D19" s="44" t="str">
        <x:v>orris_violet</x:v>
      </x:c>
      <x:c r="E19" s="44" t="str">
        <x:v>DIRECT</x:v>
      </x:c>
      <x:c r="F19" s="44" t="n">
        <x:v>55</x:v>
      </x:c>
      <x:c r="G19" s="44" t="n">
        <x:v>55</x:v>
      </x:c>
      <x:c r="H19" s="44" t="str">
        <x:v>Amouage, Dior, Kenny Originals, Prada, YSL</x:v>
      </x:c>
      <x:c r="I19" s="48" t="n">
        <x:v>0.102</x:v>
      </x:c>
      <x:c r="J19" s="48" t="n">
        <x:v>30.297</x:v>
      </x:c>
      <x:c r="K19" s="48" t="n">
        <x:v>32.03009090909091</x:v>
      </x:c>
      <x:c r="L19" s="48" t="n">
        <x:v>117.832</x:v>
      </x:c>
      <x:c r="M19" s="46" t="n">
        <x:v>0.00010199999999999999</x:v>
      </x:c>
      <x:c r="N19" s="46" t="n">
        <x:v>0.030297</x:v>
      </x:c>
      <x:c r="O19" s="46" t="n">
        <x:v>0.11783199999999999</x:v>
      </x:c>
      <x:c r="P19" s="46" t="n">
        <x:v>0.0000204</x:v>
      </x:c>
      <x:c r="Q19" s="46" t="n">
        <x:v>0.00566145</x:v>
      </x:c>
      <x:c r="R19" s="46" t="n">
        <x:v>0.027101359999999998</x:v>
      </x:c>
      <x:c r="S19" s="46" t="n">
        <x:v>0.0000204</x:v>
      </x:c>
      <x:c r="T19" s="46" t="n">
        <x:v>0.00566145</x:v>
      </x:c>
      <x:c r="U19" s="46" t="n">
        <x:v>0.027101359999999998</x:v>
      </x:c>
      <x:c r="V19" s="44" t="n">
        <x:v>0</x:v>
      </x:c>
      <x:c r="W19" s="44" t="n">
        <x:v>0</x:v>
      </x:c>
      <x:c r="X19" s="44" t="str">
        <x:v>AM-E01, AM-E02, AM-E05, AM-E06, AM-E08, AM-E09, AM-E10, AM-E11, AM-L01, AM-L03, AM-L04, AM-L05, AM-L06, AM-L07, AM-L08, AM-L09, AM-N01, AM-N04, AM-N05, AM-N06, AM-N08, AM-N09, AM-N12, AM-N13, AM-N16, H01, H02, H04, H05, H06, H07, H08, H10, H12, O01, O02, O04, O05, PR-E01, PR-E02, PR-E05, PR-L03, PR-L04, PR-L05, PR-N02, PR-N03, PR-N04, PR-N11, Y01, Y03, Y04, Y06, Y07, Y09, Y11</x:v>
      </x:c>
    </x:row>
    <x:row r="20" ht="40" customHeight="1">
      <x:c r="A20" s="44" t="str">
        <x:v>Amber Core 10%</x:v>
      </x:c>
      <x:c r="B20" s="44" t="str">
        <x:v>10% in DPG</x:v>
      </x:c>
      <x:c r="C20" s="46" t="n">
        <x:v>0.1</x:v>
      </x:c>
      <x:c r="D20" s="44" t="str">
        <x:v>Woods / amber</x:v>
      </x:c>
      <x:c r="E20" s="44" t="str">
        <x:v>PREPARED STOCK</x:v>
      </x:c>
      <x:c r="F20" s="44" t="n">
        <x:v>48</x:v>
      </x:c>
      <x:c r="G20" s="44" t="n">
        <x:v>48</x:v>
      </x:c>
      <x:c r="H20" s="44" t="str">
        <x:v>Amouage, CHANEL, Prada, YSL</x:v>
      </x:c>
      <x:c r="I20" s="48" t="n">
        <x:v>1.304</x:v>
      </x:c>
      <x:c r="J20" s="48" t="n">
        <x:v>4.9165</x:v>
      </x:c>
      <x:c r="K20" s="48" t="n">
        <x:v>5.3998125</x:v>
      </x:c>
      <x:c r="L20" s="48" t="n">
        <x:v>20.562</x:v>
      </x:c>
      <x:c r="M20" s="46" t="n">
        <x:v>0.0013040000000000003</x:v>
      </x:c>
      <x:c r="N20" s="46" t="n">
        <x:v>0.004916500000000001</x:v>
      </x:c>
      <x:c r="O20" s="46" t="n">
        <x:v>0.020562</x:v>
      </x:c>
      <x:c r="P20" s="46" t="n">
        <x:v>0.00028460000000000003</x:v>
      </x:c>
      <x:c r="Q20" s="46" t="n">
        <x:v>0.0012612500000000002</x:v>
      </x:c>
      <x:c r="R20" s="46" t="n">
        <x:v>0.00349554</x:v>
      </x:c>
      <x:c r="S20" s="46" t="n">
        <x:v>0.000028460000000000005</x:v>
      </x:c>
      <x:c r="T20" s="46" t="n">
        <x:v>0.00012612500000000002</x:v>
      </x:c>
      <x:c r="U20" s="46" t="n">
        <x:v>0.000349554</x:v>
      </x:c>
      <x:c r="V20" s="44" t="n">
        <x:v>0</x:v>
      </x:c>
      <x:c r="W20" s="44" t="n">
        <x:v>0</x:v>
      </x:c>
      <x:c r="X20" s="44" t="str">
        <x:v>AM-E01, AM-E02, AM-E03, AM-E04, AM-E05, AM-E06, AM-E07, AM-E08, AM-E10, AM-E11, AM-E12, AM-E13, AM-E14, AM-E15, AM-E16, AM-L01, AM-L02, AM-L03, AM-L04, AM-L05, AM-L06, AM-L07, AM-L08, AM-L09, AM-N01, AM-N02, AM-N03, AM-N04, AM-N05, AM-N06, AM-N07, AM-N08, AM-N09, AM-N10, AM-N11, AM-N12, AM-N13, AM-N14, AM-N15, AM-N16, C05, C07, C08, PR-E09, PR-N01, PR-N06, Y01, Y08</x:v>
      </x:c>
    </x:row>
    <x:row r="21" ht="40" customHeight="1">
      <x:c r="A21" s="44" t="str">
        <x:v>Amber Xtreme 0.1%</x:v>
      </x:c>
      <x:c r="B21" s="44" t="str">
        <x:v>0.1% in DPG</x:v>
      </x:c>
      <x:c r="C21" s="46" t="n">
        <x:v>0.001</x:v>
      </x:c>
      <x:c r="D21" s="44" t="str">
        <x:v>Woods / amber</x:v>
      </x:c>
      <x:c r="E21" s="44" t="str">
        <x:v>TRACE PREMIX</x:v>
      </x:c>
      <x:c r="F21" s="44" t="n">
        <x:v>47</x:v>
      </x:c>
      <x:c r="G21" s="44" t="n">
        <x:v>47</x:v>
      </x:c>
      <x:c r="H21" s="44" t="str">
        <x:v>Amouage, CHANEL, Prada, YSL</x:v>
      </x:c>
      <x:c r="I21" s="48" t="n">
        <x:v>0.364</x:v>
      </x:c>
      <x:c r="J21" s="48" t="n">
        <x:v>1.786</x:v>
      </x:c>
      <x:c r="K21" s="48" t="n">
        <x:v>2.110063829787234</x:v>
      </x:c>
      <x:c r="L21" s="48" t="n">
        <x:v>7.948</x:v>
      </x:c>
      <x:c r="M21" s="46" t="n">
        <x:v>0.000364</x:v>
      </x:c>
      <x:c r="N21" s="46" t="n">
        <x:v>0.001786</x:v>
      </x:c>
      <x:c r="O21" s="46" t="n">
        <x:v>0.007948</x:v>
      </x:c>
      <x:c r="P21" s="46" t="n">
        <x:v>0.0000813</x:v>
      </x:c>
      <x:c r="Q21" s="46" t="n">
        <x:v>0.0004953</x:v>
      </x:c>
      <x:c r="R21" s="46" t="n">
        <x:v>0.0015896000000000003</x:v>
      </x:c>
      <x:c r="S21" s="46" t="n">
        <x:v>8.130000000000001e-8</x:v>
      </x:c>
      <x:c r="T21" s="46" t="n">
        <x:v>4.953e-7</x:v>
      </x:c>
      <x:c r="U21" s="46" t="n">
        <x:v>0.0000015896</x:v>
      </x:c>
      <x:c r="V21" s="44" t="n">
        <x:v>0</x:v>
      </x:c>
      <x:c r="W21" s="44" t="n">
        <x:v>0</x:v>
      </x:c>
      <x:c r="X21" s="44" t="str">
        <x:v>AM-E01, AM-E02, AM-E03, AM-E04, AM-E05, AM-E06, AM-E07, AM-E08, AM-E09, AM-E10, AM-E11, AM-E12, AM-E13, AM-E14, AM-E15, AM-E16, AM-L01, AM-L02, AM-L03, AM-L04, AM-L05, AM-L06, AM-L07, AM-L08, AM-L09, AM-N01, AM-N02, AM-N03, AM-N04, AM-N05, AM-N06, AM-N07, AM-N08, AM-N09, AM-N10, AM-N11, AM-N12, AM-N13, AM-N14, AM-N15, AM-N16, C07, C08, PR-E03, PR-E06, PR-N09, Y01</x:v>
      </x:c>
    </x:row>
    <x:row r="22" ht="40" customHeight="1">
      <x:c r="A22" s="44" t="str">
        <x:v>Ambergris Accord</x:v>
      </x:c>
      <x:c r="B22" s="44" t="str">
        <x:v>target-required accord</x:v>
      </x:c>
      <x:c r="C22" s="46" t="n">
        <x:v>1</x:v>
      </x:c>
      <x:c r="D22" s="44" t="str">
        <x:v>Musk</x:v>
      </x:c>
      <x:c r="E22" s="44" t="str">
        <x:v>TARGET REQUIRED / INVENTORY GAP</x:v>
      </x:c>
      <x:c r="F22" s="44" t="n">
        <x:v>4</x:v>
      </x:c>
      <x:c r="G22" s="44" t="n">
        <x:v>4</x:v>
      </x:c>
      <x:c r="H22" s="44" t="str">
        <x:v>Amouage, Kenny Originals</x:v>
      </x:c>
      <x:c r="I22" s="48" t="n">
        <x:v>4.742</x:v>
      </x:c>
      <x:c r="J22" s="48" t="n">
        <x:v>8.849499999999999</x:v>
      </x:c>
      <x:c r="K22" s="48" t="n">
        <x:v>12.4045</x:v>
      </x:c>
      <x:c r="L22" s="48" t="n">
        <x:v>27.177</x:v>
      </x:c>
      <x:c r="M22" s="46" t="n">
        <x:v>0.004742</x:v>
      </x:c>
      <x:c r="N22" s="46" t="n">
        <x:v>0.0088495</x:v>
      </x:c>
      <x:c r="O22" s="46" t="n">
        <x:v>0.027176999999999996</x:v>
      </x:c>
      <x:c r="P22" s="46" t="n">
        <x:v>0.0014226</x:v>
      </x:c>
      <x:c r="Q22" s="46" t="n">
        <x:v>0.0032037700000000003</x:v>
      </x:c>
      <x:c r="R22" s="46" t="n">
        <x:v>0.00652248</x:v>
      </x:c>
      <x:c r="S22" s="46" t="n">
        <x:v>0.0014226</x:v>
      </x:c>
      <x:c r="T22" s="46" t="n">
        <x:v>0.0032037700000000003</x:v>
      </x:c>
      <x:c r="U22" s="46" t="n">
        <x:v>0.00652248</x:v>
      </x:c>
      <x:c r="V22" s="44" t="n">
        <x:v>4</x:v>
      </x:c>
      <x:c r="W22" s="44" t="n">
        <x:v>0</x:v>
      </x:c>
      <x:c r="X22" s="44" t="str">
        <x:v>AM-N07, AM-N13, AM-N15, O06</x:v>
      </x:c>
    </x:row>
    <x:row r="23" ht="40" customHeight="1">
      <x:c r="A23" s="44" t="str">
        <x:v>Ambermax 50%</x:v>
      </x:c>
      <x:c r="B23" s="44" t="str">
        <x:v>50% working stock</x:v>
      </x:c>
      <x:c r="C23" s="46" t="n">
        <x:v>0.5</x:v>
      </x:c>
      <x:c r="D23" s="44" t="str">
        <x:v>Woods / amber</x:v>
      </x:c>
      <x:c r="E23" s="44" t="str">
        <x:v>PREPARED STOCK</x:v>
      </x:c>
      <x:c r="F23" s="44" t="n">
        <x:v>50</x:v>
      </x:c>
      <x:c r="G23" s="44" t="n">
        <x:v>50</x:v>
      </x:c>
      <x:c r="H23" s="44" t="str">
        <x:v>Amouage, CHANEL, Prada, YSL</x:v>
      </x:c>
      <x:c r="I23" s="48" t="n">
        <x:v>1.332</x:v>
      </x:c>
      <x:c r="J23" s="48" t="n">
        <x:v>3.7555</x:v>
      </x:c>
      <x:c r="K23" s="48" t="n">
        <x:v>5.0025</x:v>
      </x:c>
      <x:c r="L23" s="48" t="n">
        <x:v>29.346</x:v>
      </x:c>
      <x:c r="M23" s="46" t="n">
        <x:v>0.001332</x:v>
      </x:c>
      <x:c r="N23" s="46" t="n">
        <x:v>0.0037555</x:v>
      </x:c>
      <x:c r="O23" s="46" t="n">
        <x:v>0.029346</x:v>
      </x:c>
      <x:c r="P23" s="46" t="n">
        <x:v>0.00030465</x:v>
      </x:c>
      <x:c r="Q23" s="46" t="n">
        <x:v>0.001066675</x:v>
      </x:c>
      <x:c r="R23" s="46" t="n">
        <x:v>0.0058692</x:v>
      </x:c>
      <x:c r="S23" s="46" t="n">
        <x:v>0.000152325</x:v>
      </x:c>
      <x:c r="T23" s="46" t="n">
        <x:v>0.0005333375</x:v>
      </x:c>
      <x:c r="U23" s="46" t="n">
        <x:v>0.0029346</x:v>
      </x:c>
      <x:c r="V23" s="44" t="n">
        <x:v>0</x:v>
      </x:c>
      <x:c r="W23" s="44" t="n">
        <x:v>0</x:v>
      </x:c>
      <x:c r="X23" s="44" t="str">
        <x:v>AM-E01, AM-E02, AM-E03, AM-E04, AM-E05, AM-E06, AM-E07, AM-E08, AM-E09, AM-E10, AM-E11, AM-E12, AM-E13, AM-E14, AM-E15, AM-E16, AM-L01, AM-L02, AM-L03, AM-L04, AM-L05, AM-L06, AM-L07, AM-L08, AM-L09, AM-N01, AM-N02, AM-N03, AM-N04, AM-N05, AM-N06, AM-N07, AM-N08, AM-N09, AM-N10, AM-N11, AM-N12, AM-N13, AM-N14, AM-N15, AM-N16, C07, C08, PR-E03, PR-E06, PR-L01, PR-N01, PR-N06, PR-N09, Y01</x:v>
      </x:c>
    </x:row>
    <x:row r="24" ht="40" customHeight="1">
      <x:c r="A24" s="44" t="str">
        <x:v>Amberwood F</x:v>
      </x:c>
      <x:c r="B24" s="44" t="str">
        <x:v>neat / as supplied</x:v>
      </x:c>
      <x:c r="C24" s="46" t="n">
        <x:v>1</x:v>
      </x:c>
      <x:c r="D24" s="44" t="str">
        <x:v>woods_amber</x:v>
      </x:c>
      <x:c r="E24" s="44" t="str">
        <x:v>DIRECT</x:v>
      </x:c>
      <x:c r="F24" s="44" t="n">
        <x:v>92</x:v>
      </x:c>
      <x:c r="G24" s="44" t="n">
        <x:v>92</x:v>
      </x:c>
      <x:c r="H24" s="44" t="str">
        <x:v>Amouage, CHANEL, Dior, Kenny Originals, Prada, YSL</x:v>
      </x:c>
      <x:c r="I24" s="48" t="n">
        <x:v>0.116</x:v>
      </x:c>
      <x:c r="J24" s="48" t="n">
        <x:v>6.4375</x:v>
      </x:c>
      <x:c r="K24" s="48" t="n">
        <x:v>12.935326086956522</x:v>
      </x:c>
      <x:c r="L24" s="48" t="n">
        <x:v>65.266</x:v>
      </x:c>
      <x:c r="M24" s="46" t="n">
        <x:v>0.00011600000000000001</x:v>
      </x:c>
      <x:c r="N24" s="46" t="n">
        <x:v>0.0064375000000000005</x:v>
      </x:c>
      <x:c r="O24" s="46" t="n">
        <x:v>0.065266</x:v>
      </x:c>
      <x:c r="P24" s="46" t="n">
        <x:v>0.00002552</x:v>
      </x:c>
      <x:c r="Q24" s="46" t="n">
        <x:v>0.0015894449999999999</x:v>
      </x:c>
      <x:c r="R24" s="46" t="n">
        <x:v>0.013053200000000003</x:v>
      </x:c>
      <x:c r="S24" s="46" t="n">
        <x:v>0.00002552</x:v>
      </x:c>
      <x:c r="T24" s="46" t="n">
        <x:v>0.0015894449999999999</x:v>
      </x:c>
      <x:c r="U24" s="46" t="n">
        <x:v>0.013053200000000003</x:v>
      </x:c>
      <x:c r="V24" s="44" t="n">
        <x:v>0</x:v>
      </x:c>
      <x:c r="W24" s="44" t="n">
        <x:v>0</x:v>
      </x:c>
      <x:c r="X24" s="44" t="str">
        <x:v>AM-E01, AM-E02, AM-E03, AM-E04, AM-E05, AM-E06, AM-E07, AM-E08, AM-E09, AM-E10, AM-E11, AM-E12, AM-E13, AM-E14, AM-E15, AM-E16, AM-L01, AM-L02, AM-L03, AM-L04, AM-L05, AM-L06, AM-L07, AM-L08, AM-L09, AM-N01, AM-N02, AM-N03, AM-N04, AM-N05, AM-N06, AM-N07, AM-N08, AM-N09, AM-N10, AM-N11, AM-N12, AM-N13, AM-N14, AM-N15, AM-N16, C05, C06, C07, C08, H01, H02, H03, H04, H05, H06, H07, H08, H10, H11, H12, H13, H14, H15, O02, O03, O06, PR-E01, PR-E02, PR-E03, PR-E04, PR-E05, PR-E06, PR-E07, PR-E09, PR-L01, PR-N01, PR-N02, PR-N03, PR-N06, PR-N07, PR-N08, PR-N09, S01, S02, S03, S04, S05, S06, S07, S08, Y02, Y03, Y04, Y08, Y10, Y13</x:v>
      </x:c>
    </x:row>
    <x:row r="25" ht="40" customHeight="1">
      <x:c r="A25" s="44" t="str">
        <x:v>Ambrettolide 10%</x:v>
      </x:c>
      <x:c r="B25" s="44" t="str">
        <x:v>10% in DPG</x:v>
      </x:c>
      <x:c r="C25" s="46" t="n">
        <x:v>0.1</x:v>
      </x:c>
      <x:c r="D25" s="44" t="str">
        <x:v>musk</x:v>
      </x:c>
      <x:c r="E25" s="44" t="str">
        <x:v>PREPARED STOCK</x:v>
      </x:c>
      <x:c r="F25" s="44" t="n">
        <x:v>119</x:v>
      </x:c>
      <x:c r="G25" s="44" t="n">
        <x:v>119</x:v>
      </x:c>
      <x:c r="H25" s="44" t="str">
        <x:v>Amouage, CHANEL, Dior, Kenny Originals, Prada, YSL</x:v>
      </x:c>
      <x:c r="I25" s="48" t="n">
        <x:v>0.296</x:v>
      </x:c>
      <x:c r="J25" s="48" t="n">
        <x:v>3.197</x:v>
      </x:c>
      <x:c r="K25" s="48" t="n">
        <x:v>9.078714285714286</x:v>
      </x:c>
      <x:c r="L25" s="48" t="n">
        <x:v>56.875</x:v>
      </x:c>
      <x:c r="M25" s="46" t="n">
        <x:v>0.000296</x:v>
      </x:c>
      <x:c r="N25" s="46" t="n">
        <x:v>0.0031969999999999998</x:v>
      </x:c>
      <x:c r="O25" s="46" t="n">
        <x:v>0.056875</x:v>
      </x:c>
      <x:c r="P25" s="46" t="n">
        <x:v>0.00008583999999999998</x:v>
      </x:c>
      <x:c r="Q25" s="46" t="n">
        <x:v>0.0007522000000000001</x:v>
      </x:c>
      <x:c r="R25" s="46" t="n">
        <x:v>0.013051249999999999</x:v>
      </x:c>
      <x:c r="S25" s="46" t="n">
        <x:v>0.000008583999999999998</x:v>
      </x:c>
      <x:c r="T25" s="46" t="n">
        <x:v>0.00007522000000000002</x:v>
      </x:c>
      <x:c r="U25" s="46" t="n">
        <x:v>0.001305125</x:v>
      </x:c>
      <x:c r="V25" s="44" t="n">
        <x:v>0</x:v>
      </x:c>
      <x:c r="W25" s="44" t="n">
        <x:v>0</x:v>
      </x:c>
      <x:c r="X25"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PR-E03, PR-E04, PR-E05, PR-E06, PR-E07, PR-E08, PR-E09, PR-L02, PR-L03, PR-L04, PR-L05, PR-N01, PR-N02, PR-N03, PR-N04, PR-N05, PR-N06, PR-N07, PR-N08, PR-N09, PR-N10, PR-N11, PR-N12, PR-N13, PR-N14, S01, S02, S03, S04, S05, S06, S07, S08, Y01, Y02, Y03, Y04, Y05, Y06, Y07, Y08, Y09, Y10, Y11, Y12, Y13, Y14</x:v>
      </x:c>
    </x:row>
    <x:row r="26" ht="40" customHeight="1">
      <x:c r="A26" s="44" t="str">
        <x:v>Ambrofix 30%</x:v>
      </x:c>
      <x:c r="B26" s="44" t="str">
        <x:v>30% working stock</x:v>
      </x:c>
      <x:c r="C26" s="46" t="n">
        <x:v>0.3</x:v>
      </x:c>
      <x:c r="D26" s="44" t="str">
        <x:v>woods_amber</x:v>
      </x:c>
      <x:c r="E26" s="44" t="str">
        <x:v>PREPARED STOCK</x:v>
      </x:c>
      <x:c r="F26" s="44" t="n">
        <x:v>114</x:v>
      </x:c>
      <x:c r="G26" s="44" t="n">
        <x:v>114</x:v>
      </x:c>
      <x:c r="H26" s="44" t="str">
        <x:v>Amouage, CHANEL, Dior, Kenny Originals, Prada, YSL</x:v>
      </x:c>
      <x:c r="I26" s="48" t="n">
        <x:v>1.543</x:v>
      </x:c>
      <x:c r="J26" s="48" t="n">
        <x:v>15.830499999999999</x:v>
      </x:c>
      <x:c r="K26" s="48" t="n">
        <x:v>25.125780701754387</x:v>
      </x:c>
      <x:c r="L26" s="48" t="n">
        <x:v>107.091</x:v>
      </x:c>
      <x:c r="M26" s="46" t="n">
        <x:v>0.0015429999999999999</x:v>
      </x:c>
      <x:c r="N26" s="46" t="n">
        <x:v>0.0158305</x:v>
      </x:c>
      <x:c r="O26" s="46" t="n">
        <x:v>0.10709099999999999</x:v>
      </x:c>
      <x:c r="P26" s="46" t="n">
        <x:v>0.00038574999999999997</x:v>
      </x:c>
      <x:c r="Q26" s="46" t="n">
        <x:v>0.0035239999999999994</x:v>
      </x:c>
      <x:c r="R26" s="46" t="n">
        <x:v>0.02456075</x:v>
      </x:c>
      <x:c r="S26" s="46" t="n">
        <x:v>0.000115725</x:v>
      </x:c>
      <x:c r="T26" s="46" t="n">
        <x:v>0.0010572</x:v>
      </x:c>
      <x:c r="U26" s="46" t="n">
        <x:v>0.007368224999999999</x:v>
      </x:c>
      <x:c r="V26" s="44" t="n">
        <x:v>0</x:v>
      </x:c>
      <x:c r="W26" s="44" t="n">
        <x:v>0</x:v>
      </x:c>
      <x:c r="X26"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PR-E03, PR-E04, PR-E05, PR-E06, PR-E07, PR-E09, PR-L01, PR-L02, PR-L03, PR-L04, PR-L05, PR-N01, PR-N02, PR-N03, PR-N04, PR-N05, PR-N06, PR-N07, PR-N08, PR-N09, S01, S02, S03, S04, S05, S06, S07, S08, Y01, Y02, Y03, Y04, Y05, Y06, Y07, Y08, Y09, Y10, Y11, Y12, Y13, Y14</x:v>
      </x:c>
    </x:row>
    <x:row r="27" ht="40" customHeight="1">
      <x:c r="A27" s="44" t="str">
        <x:v>Ambrox Super 33%</x:v>
      </x:c>
      <x:c r="B27" s="44" t="str">
        <x:v>33% working stock</x:v>
      </x:c>
      <x:c r="C27" s="46" t="n">
        <x:v>0.33</x:v>
      </x:c>
      <x:c r="D27" s="44" t="str">
        <x:v>woods_amber</x:v>
      </x:c>
      <x:c r="E27" s="44" t="str">
        <x:v>TRACE PREMIX</x:v>
      </x:c>
      <x:c r="F27" s="44" t="n">
        <x:v>81</x:v>
      </x:c>
      <x:c r="G27" s="44" t="n">
        <x:v>81</x:v>
      </x:c>
      <x:c r="H27" s="44" t="str">
        <x:v>Amouage, CHANEL, Dior, Kenny Originals, Prada, YSL</x:v>
      </x:c>
      <x:c r="I27" s="48" t="n">
        <x:v>0.194</x:v>
      </x:c>
      <x:c r="J27" s="48" t="n">
        <x:v>7.459</x:v>
      </x:c>
      <x:c r="K27" s="48" t="n">
        <x:v>11.186148148148149</x:v>
      </x:c>
      <x:c r="L27" s="48" t="n">
        <x:v>61.244</x:v>
      </x:c>
      <x:c r="M27" s="46" t="n">
        <x:v>0.000194</x:v>
      </x:c>
      <x:c r="N27" s="46" t="n">
        <x:v>0.007459</x:v>
      </x:c>
      <x:c r="O27" s="46" t="n">
        <x:v>0.06124399999999999</x:v>
      </x:c>
      <x:c r="P27" s="46" t="n">
        <x:v>0.00004268</x:v>
      </x:c>
      <x:c r="Q27" s="46" t="n">
        <x:v>0.0018422999999999998</x:v>
      </x:c>
      <x:c r="R27" s="46" t="n">
        <x:v>0.012248800000000002</x:v>
      </x:c>
      <x:c r="S27" s="46" t="n">
        <x:v>0.000014084400000000002</x:v>
      </x:c>
      <x:c r="T27" s="46" t="n">
        <x:v>0.0006079589999999999</x:v>
      </x:c>
      <x:c r="U27" s="46" t="n">
        <x:v>0.004042104000000001</x:v>
      </x:c>
      <x:c r="V27" s="44" t="n">
        <x:v>0</x:v>
      </x:c>
      <x:c r="W27" s="44" t="n">
        <x:v>0</x:v>
      </x:c>
      <x:c r="X27" s="44" t="str">
        <x:v>AM-E01, AM-E02, AM-E03, AM-E04, AM-E05, AM-E06, AM-E07, AM-E08, AM-E09, AM-E10, AM-E11, AM-E12, AM-E13, AM-E14, AM-E15, AM-E16, AM-L01, AM-L02, AM-L03, AM-L04, AM-L05, AM-L06, AM-L07, AM-L08, AM-L09, AM-N01, AM-N02, AM-N03, AM-N04, AM-N05, AM-N06, AM-N07, AM-N08, AM-N09, AM-N10, AM-N11, AM-N12, AM-N13, AM-N14, AM-N15, AM-N16, C07, C08, H01, H02, H03, H04, H05, H06, H07, H08, H10, H11, H12, H13, H14, H15, O03, O06, PR-E03, PR-E04, PR-E05, PR-E06, PR-E07, PR-E09, PR-L02, PR-N01, PR-N02, PR-N03, PR-N07, PR-N08, PR-N09, S01, S02, S03, S04, S05, S06, S07, S08, Y02</x:v>
      </x:c>
    </x:row>
    <x:row r="28" ht="40" customHeight="1">
      <x:c r="A28" s="44" t="str">
        <x:v>Angelica Seed EO 10%</x:v>
      </x:c>
      <x:c r="B28" s="44" t="str">
        <x:v>10% target-required working dilution</x:v>
      </x:c>
      <x:c r="C28" s="46" t="n">
        <x:v>0.1</x:v>
      </x:c>
      <x:c r="D28" s="44" t="str">
        <x:v>Aromatic top</x:v>
      </x:c>
      <x:c r="E28" s="44" t="str">
        <x:v>TARGET REQUIRED / INVENTORY GAP</x:v>
      </x:c>
      <x:c r="F28" s="44" t="n">
        <x:v>3</x:v>
      </x:c>
      <x:c r="G28" s="44" t="n">
        <x:v>3</x:v>
      </x:c>
      <x:c r="H28" s="44" t="str">
        <x:v>Amouage, Prada</x:v>
      </x:c>
      <x:c r="I28" s="48" t="n">
        <x:v>20.631</x:v>
      </x:c>
      <x:c r="J28" s="48" t="n">
        <x:v>30.378</x:v>
      </x:c>
      <x:c r="K28" s="48" t="n">
        <x:v>28.529333333333334</x:v>
      </x:c>
      <x:c r="L28" s="48" t="n">
        <x:v>34.579</x:v>
      </x:c>
      <x:c r="M28" s="46" t="n">
        <x:v>0.020631</x:v>
      </x:c>
      <x:c r="N28" s="46" t="n">
        <x:v>0.030378</x:v>
      </x:c>
      <x:c r="O28" s="46" t="n">
        <x:v>0.034579</x:v>
      </x:c>
      <x:c r="P28" s="46" t="n">
        <x:v>0.0041262</x:v>
      </x:c>
      <x:c r="Q28" s="46" t="n">
        <x:v>0.00546804</x:v>
      </x:c>
      <x:c r="R28" s="46" t="n">
        <x:v>0.00864475</x:v>
      </x:c>
      <x:c r="S28" s="46" t="n">
        <x:v>0.00041262</x:v>
      </x:c>
      <x:c r="T28" s="46" t="n">
        <x:v>0.0005468040000000001</x:v>
      </x:c>
      <x:c r="U28" s="46" t="n">
        <x:v>0.0008644750000000001</x:v>
      </x:c>
      <x:c r="V28" s="44" t="n">
        <x:v>3</x:v>
      </x:c>
      <x:c r="W28" s="44" t="n">
        <x:v>0</x:v>
      </x:c>
      <x:c r="X28" s="44" t="str">
        <x:v>AM-N04, PR-E05, PR-N13</x:v>
      </x:c>
    </x:row>
    <x:row r="29" ht="40" customHeight="1">
      <x:c r="A29" s="44" t="str">
        <x:v>Anisaldehyde 10%</x:v>
      </x:c>
      <x:c r="B29" s="44" t="str">
        <x:v>10% working stock</x:v>
      </x:c>
      <x:c r="C29" s="46" t="n">
        <x:v>0.1</x:v>
      </x:c>
      <x:c r="D29" s="44" t="str">
        <x:v>sweet_balsamic</x:v>
      </x:c>
      <x:c r="E29" s="44" t="str">
        <x:v>PREPARED STOCK</x:v>
      </x:c>
      <x:c r="F29" s="44" t="n">
        <x:v>30</x:v>
      </x:c>
      <x:c r="G29" s="44" t="n">
        <x:v>30</x:v>
      </x:c>
      <x:c r="H29" s="44" t="str">
        <x:v>Amouage, Dior, Prada, YSL</x:v>
      </x:c>
      <x:c r="I29" s="48" t="n">
        <x:v>0.467</x:v>
      </x:c>
      <x:c r="J29" s="48" t="n">
        <x:v>5.3375</x:v>
      </x:c>
      <x:c r="K29" s="48" t="n">
        <x:v>10.3252</x:v>
      </x:c>
      <x:c r="L29" s="48" t="n">
        <x:v>64.542</x:v>
      </x:c>
      <x:c r="M29" s="46" t="n">
        <x:v>0.0004670000000000001</x:v>
      </x:c>
      <x:c r="N29" s="46" t="n">
        <x:v>0.005337499999999999</x:v>
      </x:c>
      <x:c r="O29" s="46" t="n">
        <x:v>0.064542</x:v>
      </x:c>
      <x:c r="P29" s="46" t="n">
        <x:v>0.00009340000000000001</x:v>
      </x:c>
      <x:c r="Q29" s="46" t="n">
        <x:v>0.001376375</x:v>
      </x:c>
      <x:c r="R29" s="46" t="n">
        <x:v>0.012426</x:v>
      </x:c>
      <x:c r="S29" s="46" t="n">
        <x:v>0.000009340000000000002</x:v>
      </x:c>
      <x:c r="T29" s="46" t="n">
        <x:v>0.0001376375</x:v>
      </x:c>
      <x:c r="U29" s="46" t="n">
        <x:v>0.0012426</x:v>
      </x:c>
      <x:c r="V29" s="44" t="n">
        <x:v>0</x:v>
      </x:c>
      <x:c r="W29" s="44" t="n">
        <x:v>0</x:v>
      </x:c>
      <x:c r="X29" s="44" t="str">
        <x:v>AM-E02, AM-E03, AM-E04, AM-E07, AM-E11, AM-E12, AM-E13, AM-L01, AM-L03, AM-L05, AM-L06, AM-L07, AM-L08, AM-N01, AM-N02, AM-N03, AM-N06, AM-N07, AM-N08, AM-N10, AM-N13, AM-N14, AM-N15, AM-N16, PR-E04, PR-N12, S06, S08, Y03, Y07</x:v>
      </x:c>
    </x:row>
    <x:row r="30" ht="40" customHeight="1">
      <x:c r="A30" s="44" t="str">
        <x:v>Anise EO 1%</x:v>
      </x:c>
      <x:c r="B30" s="44" t="str">
        <x:v>1% working dilution</x:v>
      </x:c>
      <x:c r="C30" s="46" t="n">
        <x:v>0.01</x:v>
      </x:c>
      <x:c r="D30" s="44" t="str">
        <x:v>Spice</x:v>
      </x:c>
      <x:c r="E30" s="44" t="str">
        <x:v>TRACE PREMIX</x:v>
      </x:c>
      <x:c r="F30" s="44" t="n">
        <x:v>17</x:v>
      </x:c>
      <x:c r="G30" s="44" t="n">
        <x:v>17</x:v>
      </x:c>
      <x:c r="H30" s="44" t="str">
        <x:v>Amouage, Prada</x:v>
      </x:c>
      <x:c r="I30" s="48" t="n">
        <x:v>1.191</x:v>
      </x:c>
      <x:c r="J30" s="48" t="n">
        <x:v>1.746</x:v>
      </x:c>
      <x:c r="K30" s="48" t="n">
        <x:v>3.031470588235294</x:v>
      </x:c>
      <x:c r="L30" s="48" t="n">
        <x:v>19.031</x:v>
      </x:c>
      <x:c r="M30" s="46" t="n">
        <x:v>0.0011910000000000002</x:v>
      </x:c>
      <x:c r="N30" s="46" t="n">
        <x:v>0.0017460000000000002</x:v>
      </x:c>
      <x:c r="O30" s="46" t="n">
        <x:v>0.019031</x:v>
      </x:c>
      <x:c r="P30" s="46" t="n">
        <x:v>0.00028584</x:v>
      </x:c>
      <x:c r="Q30" s="46" t="n">
        <x:v>0.00047149999999999997</x:v>
      </x:c>
      <x:c r="R30" s="46" t="n">
        <x:v>0.0038062</x:v>
      </x:c>
      <x:c r="S30" s="46" t="n">
        <x:v>0.0000028584</x:v>
      </x:c>
      <x:c r="T30" s="46" t="n">
        <x:v>0.000004715</x:v>
      </x:c>
      <x:c r="U30" s="46" t="n">
        <x:v>0.000038062</x:v>
      </x:c>
      <x:c r="V30" s="44" t="n">
        <x:v>0</x:v>
      </x:c>
      <x:c r="W30" s="44" t="n">
        <x:v>0</x:v>
      </x:c>
      <x:c r="X30" s="44" t="str">
        <x:v>AM-E02, AM-E03, AM-E07, AM-E11, AM-E12, AM-E13, AM-L01, AM-L06, AM-L08, AM-N03, AM-N07, AM-N10, AM-N13, AM-N14, AM-N15, AM-N16, PR-E04</x:v>
      </x:c>
    </x:row>
    <x:row r="31" ht="40" customHeight="1">
      <x:c r="A31" s="44" t="str">
        <x:v>Apple Accord 10%</x:v>
      </x:c>
      <x:c r="B31" s="44" t="str">
        <x:v>10% target-required accord</x:v>
      </x:c>
      <x:c r="C31" s="46" t="n">
        <x:v>0.1</x:v>
      </x:c>
      <x:c r="D31" s="44" t="str">
        <x:v>Green fruit</x:v>
      </x:c>
      <x:c r="E31" s="44" t="str">
        <x:v>TARGET REQUIRED / INVENTORY GAP</x:v>
      </x:c>
      <x:c r="F31" s="44" t="n">
        <x:v>2</x:v>
      </x:c>
      <x:c r="G31" s="44" t="n">
        <x:v>2</x:v>
      </x:c>
      <x:c r="H31" s="44" t="str">
        <x:v>YSL</x:v>
      </x:c>
      <x:c r="I31" s="48" t="n">
        <x:v>83.368</x:v>
      </x:c>
      <x:c r="J31" s="48" t="n">
        <x:v>87.48849999999999</x:v>
      </x:c>
      <x:c r="K31" s="48" t="n">
        <x:v>87.48849999999999</x:v>
      </x:c>
      <x:c r="L31" s="48" t="n">
        <x:v>91.609</x:v>
      </x:c>
      <x:c r="M31" s="46" t="n">
        <x:v>0.083368</x:v>
      </x:c>
      <x:c r="N31" s="46" t="n">
        <x:v>0.08748850000000001</x:v>
      </x:c>
      <x:c r="O31" s="46" t="n">
        <x:v>0.091609</x:v>
      </x:c>
      <x:c r="P31" s="46" t="n">
        <x:v>0.015006239999999997</x:v>
      </x:c>
      <x:c r="Q31" s="46" t="n">
        <x:v>0.01758011</x:v>
      </x:c>
      <x:c r="R31" s="46" t="n">
        <x:v>0.020153980000000002</x:v>
      </x:c>
      <x:c r="S31" s="46" t="n">
        <x:v>0.0015006239999999999</x:v>
      </x:c>
      <x:c r="T31" s="46" t="n">
        <x:v>0.001758011</x:v>
      </x:c>
      <x:c r="U31" s="46" t="n">
        <x:v>0.0020153980000000003</x:v>
      </x:c>
      <x:c r="V31" s="44" t="n">
        <x:v>2</x:v>
      </x:c>
      <x:c r="W31" s="44" t="n">
        <x:v>0</x:v>
      </x:c>
      <x:c r="X31" s="44" t="str">
        <x:v>Y10, Y13</x:v>
      </x:c>
    </x:row>
    <x:row r="32" ht="40" customHeight="1">
      <x:c r="A32" s="44" t="str">
        <x:v>Apritone 10%</x:v>
      </x:c>
      <x:c r="B32" s="44" t="str">
        <x:v>10% working stock</x:v>
      </x:c>
      <x:c r="C32" s="46" t="n">
        <x:v>0.1</x:v>
      </x:c>
      <x:c r="D32" s="44" t="str">
        <x:v>Green / fruit</x:v>
      </x:c>
      <x:c r="E32" s="44" t="str">
        <x:v>PREPARED STOCK</x:v>
      </x:c>
      <x:c r="F32" s="44" t="n">
        <x:v>9</x:v>
      </x:c>
      <x:c r="G32" s="44" t="n">
        <x:v>9</x:v>
      </x:c>
      <x:c r="H32" s="44" t="str">
        <x:v>Amouage, Dior</x:v>
      </x:c>
      <x:c r="I32" s="48" t="n">
        <x:v>1.123</x:v>
      </x:c>
      <x:c r="J32" s="48" t="n">
        <x:v>2.314</x:v>
      </x:c>
      <x:c r="K32" s="48" t="n">
        <x:v>4.268111111111111</x:v>
      </x:c>
      <x:c r="L32" s="48" t="n">
        <x:v>13.325</x:v>
      </x:c>
      <x:c r="M32" s="46" t="n">
        <x:v>0.0011229999999999999</x:v>
      </x:c>
      <x:c r="N32" s="46" t="n">
        <x:v>0.002314</x:v>
      </x:c>
      <x:c r="O32" s="46" t="n">
        <x:v>0.013325</x:v>
      </x:c>
      <x:c r="P32" s="46" t="n">
        <x:v>0.0002246</x:v>
      </x:c>
      <x:c r="Q32" s="46" t="n">
        <x:v>0.0005785</x:v>
      </x:c>
      <x:c r="R32" s="46" t="n">
        <x:v>0.002676</x:v>
      </x:c>
      <x:c r="S32" s="46" t="n">
        <x:v>0.000022460000000000002</x:v>
      </x:c>
      <x:c r="T32" s="46" t="n">
        <x:v>0.000057850000000000003</x:v>
      </x:c>
      <x:c r="U32" s="46" t="n">
        <x:v>0.0002676</x:v>
      </x:c>
      <x:c r="V32" s="44" t="n">
        <x:v>0</x:v>
      </x:c>
      <x:c r="W32" s="44" t="n">
        <x:v>0</x:v>
      </x:c>
      <x:c r="X32" s="44" t="str">
        <x:v>AM-E02, AM-E06, AM-L02, AM-L04, AM-N03, AM-N06, AM-N09, AM-N10, H05</x:v>
      </x:c>
    </x:row>
    <x:row r="33" ht="40" customHeight="1">
      <x:c r="A33" s="44" t="str">
        <x:v>Basil EO ct. Methyl Chavicol 10%</x:v>
      </x:c>
      <x:c r="B33" s="44" t="str">
        <x:v>10% in DPG; verify stock</x:v>
      </x:c>
      <x:c r="C33" s="46" t="n">
        <x:v>0.1</x:v>
      </x:c>
      <x:c r="D33" s="44" t="str">
        <x:v>Aromatic top</x:v>
      </x:c>
      <x:c r="E33" s="44" t="str">
        <x:v>VERIFY LABEL</x:v>
      </x:c>
      <x:c r="F33" s="44" t="n">
        <x:v>2</x:v>
      </x:c>
      <x:c r="G33" s="44" t="n">
        <x:v>2</x:v>
      </x:c>
      <x:c r="H33" s="44" t="str">
        <x:v>YSL</x:v>
      </x:c>
      <x:c r="I33" s="48" t="n">
        <x:v>36.023</x:v>
      </x:c>
      <x:c r="J33" s="48" t="n">
        <x:v>56.798500000000004</x:v>
      </x:c>
      <x:c r="K33" s="48" t="n">
        <x:v>56.798500000000004</x:v>
      </x:c>
      <x:c r="L33" s="48" t="n">
        <x:v>77.574</x:v>
      </x:c>
      <x:c r="M33" s="46" t="n">
        <x:v>0.036023000000000006</x:v>
      </x:c>
      <x:c r="N33" s="46" t="n">
        <x:v>0.0567985</x:v>
      </x:c>
      <x:c r="O33" s="46" t="n">
        <x:v>0.07757399999999999</x:v>
      </x:c>
      <x:c r="P33" s="46" t="n">
        <x:v>0.005403450000000001</x:v>
      </x:c>
      <x:c r="Q33" s="46" t="n">
        <x:v>0.008519775</x:v>
      </x:c>
      <x:c r="R33" s="46" t="n">
        <x:v>0.011636099999999998</x:v>
      </x:c>
      <x:c r="S33" s="46" t="n">
        <x:v>0.0005403450000000001</x:v>
      </x:c>
      <x:c r="T33" s="46" t="n">
        <x:v>0.0008519775</x:v>
      </x:c>
      <x:c r="U33" s="46" t="n">
        <x:v>0.0011636099999999998</x:v>
      </x:c>
      <x:c r="V33" s="44" t="n">
        <x:v>0</x:v>
      </x:c>
      <x:c r="W33" s="44" t="n">
        <x:v>2</x:v>
      </x:c>
      <x:c r="X33" s="44" t="str">
        <x:v>Y01, Y07</x:v>
      </x:c>
    </x:row>
    <x:row r="34" ht="40" customHeight="1">
      <x:c r="A34" s="44" t="str">
        <x:v>Benzaldehyde 10%</x:v>
      </x:c>
      <x:c r="B34" s="44" t="str">
        <x:v>10% working dilution</x:v>
      </x:c>
      <x:c r="C34" s="46" t="n">
        <x:v>0.1</x:v>
      </x:c>
      <x:c r="D34" s="44" t="str">
        <x:v>Almond / gourmand</x:v>
      </x:c>
      <x:c r="E34" s="44" t="str">
        <x:v>PREPARED STOCK</x:v>
      </x:c>
      <x:c r="F34" s="44" t="n">
        <x:v>18</x:v>
      </x:c>
      <x:c r="G34" s="44" t="n">
        <x:v>18</x:v>
      </x:c>
      <x:c r="H34" s="44" t="str">
        <x:v>Amouage, Prada</x:v>
      </x:c>
      <x:c r="I34" s="48" t="n">
        <x:v>0.422</x:v>
      </x:c>
      <x:c r="J34" s="48" t="n">
        <x:v>2.1470000000000002</x:v>
      </x:c>
      <x:c r="K34" s="48" t="n">
        <x:v>8.985333333333333</x:v>
      </x:c>
      <x:c r="L34" s="48" t="n">
        <x:v>111.842</x:v>
      </x:c>
      <x:c r="M34" s="46" t="n">
        <x:v>0.000422</x:v>
      </x:c>
      <x:c r="N34" s="46" t="n">
        <x:v>0.002147</x:v>
      </x:c>
      <x:c r="O34" s="46" t="n">
        <x:v>0.11184200000000001</x:v>
      </x:c>
      <x:c r="P34" s="46" t="n">
        <x:v>0.0001055</x:v>
      </x:c>
      <x:c r="Q34" s="46" t="n">
        <x:v>0.0006066</x:v>
      </x:c>
      <x:c r="R34" s="46" t="n">
        <x:v>0.02460524</x:v>
      </x:c>
      <x:c r="S34" s="46" t="n">
        <x:v>0.000010550000000000002</x:v>
      </x:c>
      <x:c r="T34" s="46" t="n">
        <x:v>0.000060660000000000005</x:v>
      </x:c>
      <x:c r="U34" s="46" t="n">
        <x:v>0.002460524</x:v>
      </x:c>
      <x:c r="V34" s="44" t="n">
        <x:v>0</x:v>
      </x:c>
      <x:c r="W34" s="44" t="n">
        <x:v>0</x:v>
      </x:c>
      <x:c r="X34" s="44" t="str">
        <x:v>AM-E02, AM-E04, AM-E06, AM-E13, AM-L01, AM-L03, AM-L04, AM-L05, AM-L07, AM-N01, AM-N02, AM-N06, AM-N07, AM-N09, AM-N13, AM-N15, PR-E04, PR-N08</x:v>
      </x:c>
    </x:row>
    <x:row r="35" ht="40" customHeight="1">
      <x:c r="A35" s="44" t="str">
        <x:v>Benzyl Salicylate</x:v>
      </x:c>
      <x:c r="B35" s="44" t="str">
        <x:v>neat / as supplied</x:v>
      </x:c>
      <x:c r="C35" s="46" t="n">
        <x:v>1</x:v>
      </x:c>
      <x:c r="D35" s="44" t="str">
        <x:v>air_floral</x:v>
      </x:c>
      <x:c r="E35" s="44" t="str">
        <x:v>DIRECT</x:v>
      </x:c>
      <x:c r="F35" s="44" t="n">
        <x:v>88</x:v>
      </x:c>
      <x:c r="G35" s="44" t="n">
        <x:v>88</x:v>
      </x:c>
      <x:c r="H35" s="44" t="str">
        <x:v>Amouage, CHANEL, Dior, Kenny Originals, Prada, YSL</x:v>
      </x:c>
      <x:c r="I35" s="48" t="n">
        <x:v>0.294</x:v>
      </x:c>
      <x:c r="J35" s="48" t="n">
        <x:v>8.8935</x:v>
      </x:c>
      <x:c r="K35" s="48" t="n">
        <x:v>14.189727272727273</x:v>
      </x:c>
      <x:c r="L35" s="48" t="n">
        <x:v>160</x:v>
      </x:c>
      <x:c r="M35" s="46" t="n">
        <x:v>0.000294</x:v>
      </x:c>
      <x:c r="N35" s="46" t="n">
        <x:v>0.0088935</x:v>
      </x:c>
      <x:c r="O35" s="46" t="n">
        <x:v>0.16</x:v>
      </x:c>
      <x:c r="P35" s="46" t="n">
        <x:v>0.0000735</x:v>
      </x:c>
      <x:c r="Q35" s="46" t="n">
        <x:v>0.0018151099999999998</x:v>
      </x:c>
      <x:c r="R35" s="46" t="n">
        <x:v>0.0352</x:v>
      </x:c>
      <x:c r="S35" s="46" t="n">
        <x:v>0.0000735</x:v>
      </x:c>
      <x:c r="T35" s="46" t="n">
        <x:v>0.0018151099999999998</x:v>
      </x:c>
      <x:c r="U35" s="46" t="n">
        <x:v>0.0352</x:v>
      </x:c>
      <x:c r="V35" s="44" t="n">
        <x:v>0</x:v>
      </x:c>
      <x:c r="W35" s="44" t="n">
        <x:v>0</x:v>
      </x:c>
      <x:c r="X35"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C08, H01, H02, H03, H04, H05, H06, H07, H09, H10, H11, H12, H13, H14, O01, O02, O03, O05, O06, PR-E01, PR-E02, PR-E04, PR-E07, PR-E08, PR-E09, PR-L03, PR-L04, PR-L05, PR-N04, PR-N06, PR-N14, S01, S02, S03, S07, Y01, Y03, Y04, Y05, Y06, Y08</x:v>
      </x:c>
    </x:row>
    <x:row r="36" ht="40" customHeight="1">
      <x:c r="A36" s="44" t="str">
        <x:v>Bergamot FCF Oil Sicilian</x:v>
      </x:c>
      <x:c r="B36" s="44" t="str">
        <x:v>neat / as supplied</x:v>
      </x:c>
      <x:c r="C36" s="46" t="n">
        <x:v>1</x:v>
      </x:c>
      <x:c r="D36" s="44" t="str">
        <x:v>citrus_top</x:v>
      </x:c>
      <x:c r="E36" s="44" t="str">
        <x:v>DIRECT</x:v>
      </x:c>
      <x:c r="F36" s="44" t="n">
        <x:v>107</x:v>
      </x:c>
      <x:c r="G36" s="44" t="n">
        <x:v>107</x:v>
      </x:c>
      <x:c r="H36" s="44" t="str">
        <x:v>Amouage, CHANEL, Dior, Kenny Originals, Prada, YSL</x:v>
      </x:c>
      <x:c r="I36" s="48" t="n">
        <x:v>0.049</x:v>
      </x:c>
      <x:c r="J36" s="48" t="n">
        <x:v>15.389</x:v>
      </x:c>
      <x:c r="K36" s="48" t="n">
        <x:v>42.28722429906542</x:v>
      </x:c>
      <x:c r="L36" s="48" t="n">
        <x:v>260</x:v>
      </x:c>
      <x:c r="M36" s="46" t="n">
        <x:v>0.000049</x:v>
      </x:c>
      <x:c r="N36" s="46" t="n">
        <x:v>0.015389</x:v>
      </x:c>
      <x:c r="O36" s="46" t="n">
        <x:v>0.26</x:v>
      </x:c>
      <x:c r="P36" s="46" t="n">
        <x:v>0.000009800000000000001</x:v>
      </x:c>
      <x:c r="Q36" s="46" t="n">
        <x:v>0.0033582</x:v>
      </x:c>
      <x:c r="R36" s="46" t="n">
        <x:v>0.045174000000000006</x:v>
      </x:c>
      <x:c r="S36" s="46" t="n">
        <x:v>0.000009800000000000001</x:v>
      </x:c>
      <x:c r="T36" s="46" t="n">
        <x:v>0.0033582</x:v>
      </x:c>
      <x:c r="U36" s="46" t="n">
        <x:v>0.045174000000000006</x:v>
      </x:c>
      <x:c r="V36" s="44" t="n">
        <x:v>0</x:v>
      </x:c>
      <x:c r="W36" s="44" t="n">
        <x:v>0</x:v>
      </x:c>
      <x:c r="X36"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H08, H09, H10, H11, H12, H14, H15, O01, O03, O05, O06, PR-E01, PR-E02, PR-E03, PR-E04, PR-E05, PR-E07, PR-E08, PR-E09, PR-L01, PR-L02, PR-L03, PR-L04, PR-L05, PR-N01, PR-N03, PR-N04, PR-N05, PR-N06, PR-N10, PR-N11, PR-N12, PR-N13, PR-N14, S01, S02, S03, S04, S05, S07, S08, Y01, Y02, Y03, Y04, Y05, Y06, Y07, Y08, Y09, Y10, Y11, Y12, Y13, Y14</x:v>
      </x:c>
    </x:row>
    <x:row r="37" ht="40" customHeight="1">
      <x:c r="A37" s="44" t="str">
        <x:v>Beta Damascone 10%</x:v>
      </x:c>
      <x:c r="B37" s="44" t="str">
        <x:v>10% working stock</x:v>
      </x:c>
      <x:c r="C37" s="46" t="n">
        <x:v>0.1</x:v>
      </x:c>
      <x:c r="D37" s="44" t="str">
        <x:v>Air floral</x:v>
      </x:c>
      <x:c r="E37" s="44" t="str">
        <x:v>PREPARED STOCK</x:v>
      </x:c>
      <x:c r="F37" s="44" t="n">
        <x:v>18</x:v>
      </x:c>
      <x:c r="G37" s="44" t="n">
        <x:v>18</x:v>
      </x:c>
      <x:c r="H37" s="44" t="str">
        <x:v>Amouage, Dior</x:v>
      </x:c>
      <x:c r="I37" s="48" t="n">
        <x:v>0.3</x:v>
      </x:c>
      <x:c r="J37" s="48" t="n">
        <x:v>3.91</x:v>
      </x:c>
      <x:c r="K37" s="48" t="n">
        <x:v>7.260777777777778</x:v>
      </x:c>
      <x:c r="L37" s="48" t="n">
        <x:v>29.576</x:v>
      </x:c>
      <x:c r="M37" s="46" t="n">
        <x:v>0.0003</x:v>
      </x:c>
      <x:c r="N37" s="46" t="n">
        <x:v>0.00391</x:v>
      </x:c>
      <x:c r="O37" s="46" t="n">
        <x:v>0.029576</x:v>
      </x:c>
      <x:c r="P37" s="46" t="n">
        <x:v>0.00005970000000000001</x:v>
      </x:c>
      <x:c r="Q37" s="46" t="n">
        <x:v>0.0009133750000000001</x:v>
      </x:c>
      <x:c r="R37" s="46" t="n">
        <x:v>0.008885820000000001</x:v>
      </x:c>
      <x:c r="S37" s="46" t="n">
        <x:v>0.000005970000000000001</x:v>
      </x:c>
      <x:c r="T37" s="46" t="n">
        <x:v>0.00009133750000000003</x:v>
      </x:c>
      <x:c r="U37" s="46" t="n">
        <x:v>0.0008885820000000002</x:v>
      </x:c>
      <x:c r="V37" s="44" t="n">
        <x:v>0</x:v>
      </x:c>
      <x:c r="W37" s="44" t="n">
        <x:v>0</x:v>
      </x:c>
      <x:c r="X37" s="44" t="str">
        <x:v>AM-E01, AM-E02, AM-E05, AM-E06, AM-E12, AM-E13, AM-L02, AM-L04, AM-L08, AM-N03, AM-N06, AM-N09, AM-N10, AM-N13, H06, H13, S05, S06</x:v>
      </x:c>
    </x:row>
    <x:row r="38" ht="40" customHeight="1">
      <x:c r="A38" s="44" t="str">
        <x:v>Beta Ionone</x:v>
      </x:c>
      <x:c r="B38" s="44" t="str">
        <x:v>neat / as supplied</x:v>
      </x:c>
      <x:c r="C38" s="46" t="n">
        <x:v>1</x:v>
      </x:c>
      <x:c r="D38" s="44" t="str">
        <x:v>orris_violet</x:v>
      </x:c>
      <x:c r="E38" s="44" t="str">
        <x:v>TRACE PREMIX</x:v>
      </x:c>
      <x:c r="F38" s="44" t="n">
        <x:v>18</x:v>
      </x:c>
      <x:c r="G38" s="44" t="n">
        <x:v>18</x:v>
      </x:c>
      <x:c r="H38" s="44" t="str">
        <x:v>CHANEL, Dior, Kenny Originals, YSL</x:v>
      </x:c>
      <x:c r="I38" s="48" t="n">
        <x:v>0.064</x:v>
      </x:c>
      <x:c r="J38" s="48" t="n">
        <x:v>7.202500000000001</x:v>
      </x:c>
      <x:c r="K38" s="48" t="n">
        <x:v>6.976388888888889</x:v>
      </x:c>
      <x:c r="L38" s="48" t="n">
        <x:v>24.075</x:v>
      </x:c>
      <x:c r="M38" s="46" t="n">
        <x:v>0.000064</x:v>
      </x:c>
      <x:c r="N38" s="46" t="n">
        <x:v>0.007202500000000001</x:v>
      </x:c>
      <x:c r="O38" s="46" t="n">
        <x:v>0.024075</x:v>
      </x:c>
      <x:c r="P38" s="46" t="n">
        <x:v>0.000010799999999999998</x:v>
      </x:c>
      <x:c r="Q38" s="46" t="n">
        <x:v>0.0012514</x:v>
      </x:c>
      <x:c r="R38" s="46" t="n">
        <x:v>0.004815000000000001</x:v>
      </x:c>
      <x:c r="S38" s="46" t="n">
        <x:v>0.000010799999999999998</x:v>
      </x:c>
      <x:c r="T38" s="46" t="n">
        <x:v>0.0012514</x:v>
      </x:c>
      <x:c r="U38" s="46" t="n">
        <x:v>0.004815000000000001</x:v>
      </x:c>
      <x:c r="V38" s="44" t="n">
        <x:v>0</x:v>
      </x:c>
      <x:c r="W38" s="44" t="n">
        <x:v>0</x:v>
      </x:c>
      <x:c r="X38" s="44" t="str">
        <x:v>C01, C03, C06, H01, H02, H04, H05, H06, H07, H08, O01, O02, O04, Y09, Y10, Y11, Y12, Y13</x:v>
      </x:c>
    </x:row>
    <x:row r="39" ht="40" customHeight="1">
      <x:c r="A39" s="44" t="str">
        <x:v>Beta Ionone 1%</x:v>
      </x:c>
      <x:c r="B39" s="44" t="str">
        <x:v>1% working stock</x:v>
      </x:c>
      <x:c r="C39" s="46" t="n">
        <x:v>0.01</x:v>
      </x:c>
      <x:c r="D39" s="44" t="str">
        <x:v>Iris / violet</x:v>
      </x:c>
      <x:c r="E39" s="44" t="str">
        <x:v>TRACE PREMIX</x:v>
      </x:c>
      <x:c r="F39" s="44" t="n">
        <x:v>2</x:v>
      </x:c>
      <x:c r="G39" s="44" t="n">
        <x:v>2</x:v>
      </x:c>
      <x:c r="H39" s="44" t="str">
        <x:v>Prada, YSL</x:v>
      </x:c>
      <x:c r="I39" s="48" t="n">
        <x:v>0.691</x:v>
      </x:c>
      <x:c r="J39" s="48" t="n">
        <x:v>1.938</x:v>
      </x:c>
      <x:c r="K39" s="48" t="n">
        <x:v>1.938</x:v>
      </x:c>
      <x:c r="L39" s="48" t="n">
        <x:v>3.185</x:v>
      </x:c>
      <x:c r="M39" s="46" t="n">
        <x:v>0.000691</x:v>
      </x:c>
      <x:c r="N39" s="46" t="n">
        <x:v>0.001938</x:v>
      </x:c>
      <x:c r="O39" s="46" t="n">
        <x:v>0.003185</x:v>
      </x:c>
      <x:c r="P39" s="46" t="n">
        <x:v>0.00010365</x:v>
      </x:c>
      <x:c r="Q39" s="46" t="n">
        <x:v>0.00029069999999999996</x:v>
      </x:c>
      <x:c r="R39" s="46" t="n">
        <x:v>0.00047775</x:v>
      </x:c>
      <x:c r="S39" s="46" t="n">
        <x:v>0.0000010365</x:v>
      </x:c>
      <x:c r="T39" s="46" t="n">
        <x:v>0.0000029069999999999994</x:v>
      </x:c>
      <x:c r="U39" s="46" t="n">
        <x:v>0.0000047774999999999996</x:v>
      </x:c>
      <x:c r="V39" s="44" t="n">
        <x:v>0</x:v>
      </x:c>
      <x:c r="W39" s="44" t="n">
        <x:v>0</x:v>
      </x:c>
      <x:c r="X39" s="44" t="str">
        <x:v>PR-N11, Y01</x:v>
      </x:c>
    </x:row>
    <x:row r="40" ht="40" customHeight="1">
      <x:c r="A40" s="44" t="str">
        <x:v>Birch Tar 1%</x:v>
      </x:c>
      <x:c r="B40" s="44" t="str">
        <x:v>1% working stock</x:v>
      </x:c>
      <x:c r="C40" s="46" t="n">
        <x:v>0.01</x:v>
      </x:c>
      <x:c r="D40" s="44" t="str">
        <x:v>Leather / smoke</x:v>
      </x:c>
      <x:c r="E40" s="44" t="str">
        <x:v>PREPARED STOCK</x:v>
      </x:c>
      <x:c r="F40" s="44" t="n">
        <x:v>33</x:v>
      </x:c>
      <x:c r="G40" s="44" t="n">
        <x:v>33</x:v>
      </x:c>
      <x:c r="H40" s="44" t="str">
        <x:v>Amouage, CHANEL, Dior, Prada</x:v>
      </x:c>
      <x:c r="I40" s="48" t="n">
        <x:v>0.42</x:v>
      </x:c>
      <x:c r="J40" s="48" t="n">
        <x:v>15</x:v>
      </x:c>
      <x:c r="K40" s="48" t="n">
        <x:v>10.901636363636364</x:v>
      </x:c>
      <x:c r="L40" s="48" t="n">
        <x:v>15</x:v>
      </x:c>
      <x:c r="M40" s="46" t="n">
        <x:v>0.00041999999999999996</x:v>
      </x:c>
      <x:c r="N40" s="46" t="n">
        <x:v>0.015</x:v>
      </x:c>
      <x:c r="O40" s="46" t="n">
        <x:v>0.015</x:v>
      </x:c>
      <x:c r="P40" s="46" t="n">
        <x:v>0.00008400000000000001</x:v>
      </x:c>
      <x:c r="Q40" s="46" t="n">
        <x:v>0.003</x:v>
      </x:c>
      <x:c r="R40" s="46" t="n">
        <x:v>0.00795</x:v>
      </x:c>
      <x:c r="S40" s="46" t="n">
        <x:v>8.400000000000001e-7</x:v>
      </x:c>
      <x:c r="T40" s="46" t="n">
        <x:v>0.00003</x:v>
      </x:c>
      <x:c r="U40" s="46" t="n">
        <x:v>0.00007950000000000001</x:v>
      </x:c>
      <x:c r="V40" s="44" t="n">
        <x:v>0</x:v>
      </x:c>
      <x:c r="W40" s="44" t="n">
        <x:v>0</x:v>
      </x:c>
      <x:c r="X40" s="44" t="str">
        <x:v>AM-E01, AM-E02, AM-E03, AM-E04, AM-E07, AM-E08, AM-E11, AM-E13, AM-E14, AM-E15, AM-L03, AM-L04, AM-L05, AM-L06, AM-L07, AM-L08, AM-N01, AM-N03, AM-N05, AM-N07, AM-N08, AM-N09, AM-N13, C08, H01, H04, H08, PR-E02, PR-E04, PR-E07, PR-N05, PR-N06, PR-N07</x:v>
      </x:c>
    </x:row>
    <x:row r="41" ht="40" customHeight="1">
      <x:c r="A41" s="44" t="str">
        <x:v>Black Agarwood Artificial 10%</x:v>
      </x:c>
      <x:c r="B41" s="44" t="str">
        <x:v>10% prepared from neat</x:v>
      </x:c>
      <x:c r="C41" s="46" t="n">
        <x:v>0.1</x:v>
      </x:c>
      <x:c r="D41" s="44" t="str">
        <x:v>leather</x:v>
      </x:c>
      <x:c r="E41" s="44" t="str">
        <x:v>PREPARED STOCK</x:v>
      </x:c>
      <x:c r="F41" s="44" t="n">
        <x:v>16</x:v>
      </x:c>
      <x:c r="G41" s="44" t="n">
        <x:v>16</x:v>
      </x:c>
      <x:c r="H41" s="44" t="str">
        <x:v>Amouage, Dior, Kenny Originals</x:v>
      </x:c>
      <x:c r="I41" s="48" t="n">
        <x:v>9.868</x:v>
      </x:c>
      <x:c r="J41" s="48" t="n">
        <x:v>75.63050000000001</x:v>
      </x:c>
      <x:c r="K41" s="48" t="n">
        <x:v>76.8259375</x:v>
      </x:c>
      <x:c r="L41" s="48" t="n">
        <x:v>122.027</x:v>
      </x:c>
      <x:c r="M41" s="46" t="n">
        <x:v>0.009868</x:v>
      </x:c>
      <x:c r="N41" s="46" t="n">
        <x:v>0.0756305</x:v>
      </x:c>
      <x:c r="O41" s="46" t="n">
        <x:v>0.122027</x:v>
      </x:c>
      <x:c r="P41" s="46" t="n">
        <x:v>0.0019736000000000003</x:v>
      </x:c>
      <x:c r="Q41" s="46" t="n">
        <x:v>0.021094605</x:v>
      </x:c>
      <x:c r="R41" s="46" t="n">
        <x:v>0.044968</x:v>
      </x:c>
      <x:c r="S41" s="46" t="n">
        <x:v>0.00019736000000000005</x:v>
      </x:c>
      <x:c r="T41" s="46" t="n">
        <x:v>0.0021094605</x:v>
      </x:c>
      <x:c r="U41" s="46" t="n">
        <x:v>0.0044968000000000004</x:v>
      </x:c>
      <x:c r="V41" s="44" t="n">
        <x:v>0</x:v>
      </x:c>
      <x:c r="W41" s="44" t="n">
        <x:v>0</x:v>
      </x:c>
      <x:c r="X41" s="44" t="str">
        <x:v>AM-E01, AM-E03, AM-E04, AM-E05, AM-E06, AM-E07, AM-E13, AM-L09, AM-N01, AM-N07, AM-N08, AM-N09, AM-N15, H06, O04, S08</x:v>
      </x:c>
    </x:row>
    <x:row r="42" ht="40" customHeight="1">
      <x:c r="A42" s="44" t="str">
        <x:v>Black Pepper EO</x:v>
      </x:c>
      <x:c r="B42" s="44" t="str">
        <x:v>neat / as supplied</x:v>
      </x:c>
      <x:c r="C42" s="46" t="n">
        <x:v>1</x:v>
      </x:c>
      <x:c r="D42" s="44" t="str">
        <x:v>spice</x:v>
      </x:c>
      <x:c r="E42" s="44" t="str">
        <x:v>DIRECT</x:v>
      </x:c>
      <x:c r="F42" s="44" t="n">
        <x:v>88</x:v>
      </x:c>
      <x:c r="G42" s="44" t="n">
        <x:v>88</x:v>
      </x:c>
      <x:c r="H42" s="44" t="str">
        <x:v>Amouage, CHANEL, Dior, Kenny Originals, Prada, YSL</x:v>
      </x:c>
      <x:c r="I42" s="48" t="n">
        <x:v>0.711</x:v>
      </x:c>
      <x:c r="J42" s="48" t="n">
        <x:v>12.121</x:v>
      </x:c>
      <x:c r="K42" s="48" t="n">
        <x:v>20.996670454545455</x:v>
      </x:c>
      <x:c r="L42" s="48" t="n">
        <x:v>85</x:v>
      </x:c>
      <x:c r="M42" s="46" t="n">
        <x:v>0.0007109999999999999</x:v>
      </x:c>
      <x:c r="N42" s="46" t="n">
        <x:v>0.012121</x:v>
      </x:c>
      <x:c r="O42" s="46" t="n">
        <x:v>0.085</x:v>
      </x:c>
      <x:c r="P42" s="46" t="n">
        <x:v>0.0001422</x:v>
      </x:c>
      <x:c r="Q42" s="46" t="n">
        <x:v>0.0023988</x:v>
      </x:c>
      <x:c r="R42" s="46" t="n">
        <x:v>0.018699999999999998</x:v>
      </x:c>
      <x:c r="S42" s="46" t="n">
        <x:v>0.0001422</x:v>
      </x:c>
      <x:c r="T42" s="46" t="n">
        <x:v>0.0023988</x:v>
      </x:c>
      <x:c r="U42" s="46" t="n">
        <x:v>0.018699999999999998</x:v>
      </x:c>
      <x:c r="V42" s="44" t="n">
        <x:v>0</x:v>
      </x:c>
      <x:c r="W42" s="44" t="n">
        <x:v>0</x:v>
      </x:c>
      <x:c r="X42" s="44" t="str">
        <x:v>AM-E01, AM-E02, AM-E03, AM-E04, AM-E05, AM-E06, AM-E07, AM-E08, AM-E09, AM-E10, AM-E11, AM-E12, AM-E13, AM-E14, AM-E15, AM-E16, AM-L01, AM-L02, AM-L03, AM-L04, AM-L05, AM-L06, AM-L07, AM-L08, AM-L09, AM-N01, AM-N02, AM-N03, AM-N04, AM-N05, AM-N06, AM-N07, AM-N08, AM-N09, AM-N10, AM-N11, AM-N12, AM-N13, AM-N14, AM-N15, AM-N16, C01, C05, C07, C08, H01, H02, H03, H08, H11, H12, H13, H14, H15, O01, O03, O04, O05, PR-E01, PR-E02, PR-E03, PR-E04, PR-E07, PR-L01, PR-L04, PR-N05, S01, S02, S03, S04, S05, S06, S07, S08, Y01, Y02, Y03, Y04, Y05, Y06, Y07, Y08, Y09, Y10, Y11, Y12, Y13, Y14</x:v>
      </x:c>
    </x:row>
    <x:row r="43" ht="40" customHeight="1">
      <x:c r="A43" s="44" t="str">
        <x:v>Blackcurrant Absolute 10%</x:v>
      </x:c>
      <x:c r="B43" s="44" t="str">
        <x:v>10% in DPG</x:v>
      </x:c>
      <x:c r="C43" s="46" t="n">
        <x:v>0.1</x:v>
      </x:c>
      <x:c r="D43" s="44" t="str">
        <x:v>Green / fruit</x:v>
      </x:c>
      <x:c r="E43" s="44" t="str">
        <x:v>PREPARED STOCK</x:v>
      </x:c>
      <x:c r="F43" s="44" t="n">
        <x:v>18</x:v>
      </x:c>
      <x:c r="G43" s="44" t="n">
        <x:v>18</x:v>
      </x:c>
      <x:c r="H43" s="44" t="str">
        <x:v>Amouage</x:v>
      </x:c>
      <x:c r="I43" s="48" t="n">
        <x:v>0.439</x:v>
      </x:c>
      <x:c r="J43" s="48" t="n">
        <x:v>9.8205</x:v>
      </x:c>
      <x:c r="K43" s="48" t="n">
        <x:v>23.105277777777776</x:v>
      </x:c>
      <x:c r="L43" s="48" t="n">
        <x:v>129.363</x:v>
      </x:c>
      <x:c r="M43" s="46" t="n">
        <x:v>0.000439</x:v>
      </x:c>
      <x:c r="N43" s="46" t="n">
        <x:v>0.0098205</x:v>
      </x:c>
      <x:c r="O43" s="46" t="n">
        <x:v>0.129363</x:v>
      </x:c>
      <x:c r="P43" s="46" t="n">
        <x:v>0.00010975</x:v>
      </x:c>
      <x:c r="Q43" s="46" t="n">
        <x:v>0.002218775</x:v>
      </x:c>
      <x:c r="R43" s="46" t="n">
        <x:v>0.0391364</x:v>
      </x:c>
      <x:c r="S43" s="46" t="n">
        <x:v>0.000010975000000000002</x:v>
      </x:c>
      <x:c r="T43" s="46" t="n">
        <x:v>0.00022187750000000003</x:v>
      </x:c>
      <x:c r="U43" s="46" t="n">
        <x:v>0.00391364</x:v>
      </x:c>
      <x:c r="V43" s="44" t="n">
        <x:v>0</x:v>
      </x:c>
      <x:c r="W43" s="44" t="n">
        <x:v>0</x:v>
      </x:c>
      <x:c r="X43" s="44" t="str">
        <x:v>AM-E01, AM-E02, AM-E05, AM-E06, AM-E12, AM-E13, AM-L01, AM-L02, AM-L03, AM-L04, AM-L05, AM-L07, AM-L09, AM-N03, AM-N06, AM-N09, AM-N10, AM-N13</x:v>
      </x:c>
    </x:row>
    <x:row r="44" ht="40" customHeight="1">
      <x:c r="A44" s="44" t="str">
        <x:v>Blood Orange Oil Sicilian</x:v>
      </x:c>
      <x:c r="B44" s="44" t="str">
        <x:v>neat / as supplied</x:v>
      </x:c>
      <x:c r="C44" s="46" t="n">
        <x:v>1</x:v>
      </x:c>
      <x:c r="D44" s="44" t="str">
        <x:v>citrus_top</x:v>
      </x:c>
      <x:c r="E44" s="44" t="str">
        <x:v>DIRECT</x:v>
      </x:c>
      <x:c r="F44" s="44" t="n">
        <x:v>48</x:v>
      </x:c>
      <x:c r="G44" s="44" t="n">
        <x:v>48</x:v>
      </x:c>
      <x:c r="H44" s="44" t="str">
        <x:v>Amouage, CHANEL, Dior, Kenny Originals, YSL</x:v>
      </x:c>
      <x:c r="I44" s="48" t="n">
        <x:v>0.077</x:v>
      </x:c>
      <x:c r="J44" s="48" t="n">
        <x:v>2.349</x:v>
      </x:c>
      <x:c r="K44" s="48" t="n">
        <x:v>19.994229166666667</x:v>
      </x:c>
      <x:c r="L44" s="48" t="n">
        <x:v>226.984</x:v>
      </x:c>
      <x:c r="M44" s="46" t="n">
        <x:v>0.000077</x:v>
      </x:c>
      <x:c r="N44" s="46" t="n">
        <x:v>0.002349</x:v>
      </x:c>
      <x:c r="O44" s="46" t="n">
        <x:v>0.226984</x:v>
      </x:c>
      <x:c r="P44" s="46" t="n">
        <x:v>0.00001848</x:v>
      </x:c>
      <x:c r="Q44" s="46" t="n">
        <x:v>0.000559515</x:v>
      </x:c>
      <x:c r="R44" s="46" t="n">
        <x:v>0.034047600000000004</x:v>
      </x:c>
      <x:c r="S44" s="46" t="n">
        <x:v>0.00001848</x:v>
      </x:c>
      <x:c r="T44" s="46" t="n">
        <x:v>0.000559515</x:v>
      </x:c>
      <x:c r="U44" s="46" t="n">
        <x:v>0.034047600000000004</x:v>
      </x:c>
      <x:c r="V44" s="44" t="n">
        <x:v>0</x:v>
      </x:c>
      <x:c r="W44" s="44" t="n">
        <x:v>0</x:v>
      </x:c>
      <x:c r="X44" s="44" t="str">
        <x:v>AM-E02, AM-E03, AM-E04, AM-E05, AM-E06, AM-E07, AM-E08, AM-E09, AM-E10, AM-E12, AM-E14, AM-E15, AM-E16, AM-L01, AM-L02, AM-L03, AM-L04, AM-L06, AM-L08, AM-L09, AM-N02, AM-N04, AM-N05, AM-N06, AM-N07, AM-N09, AM-N10, AM-N14, AM-N15, C01, C02, C03, C04, C05, C06, C07, H06, H08, H13, H15, O05, O06, S05, Y03, Y04, Y05, Y10, Y14</x:v>
      </x:c>
    </x:row>
    <x:row r="45" ht="40" customHeight="1">
      <x:c r="A45" s="44" t="str">
        <x:v>Camellia Accord 10%</x:v>
      </x:c>
      <x:c r="B45" s="44" t="str">
        <x:v>10% target-required accord</x:v>
      </x:c>
      <x:c r="C45" s="46" t="n">
        <x:v>0.1</x:v>
      </x:c>
      <x:c r="D45" s="44" t="str">
        <x:v>Air floral</x:v>
      </x:c>
      <x:c r="E45" s="44" t="str">
        <x:v>TARGET REQUIRED / INVENTORY GAP</x:v>
      </x:c>
      <x:c r="F45" s="44" t="n">
        <x:v>1</x:v>
      </x:c>
      <x:c r="G45" s="44" t="n">
        <x:v>1</x:v>
      </x:c>
      <x:c r="H45" s="44" t="str">
        <x:v>Amouage</x:v>
      </x:c>
      <x:c r="I45" s="48" t="n">
        <x:v>115.864</x:v>
      </x:c>
      <x:c r="J45" s="48" t="n">
        <x:v>115.864</x:v>
      </x:c>
      <x:c r="K45" s="48" t="n">
        <x:v>115.864</x:v>
      </x:c>
      <x:c r="L45" s="48" t="n">
        <x:v>115.864</x:v>
      </x:c>
      <x:c r="M45" s="46" t="n">
        <x:v>0.11586400000000001</x:v>
      </x:c>
      <x:c r="N45" s="46" t="n">
        <x:v>0.11586400000000001</x:v>
      </x:c>
      <x:c r="O45" s="46" t="n">
        <x:v>0.11586400000000001</x:v>
      </x:c>
      <x:c r="P45" s="46" t="n">
        <x:v>0.028966000000000002</x:v>
      </x:c>
      <x:c r="Q45" s="46" t="n">
        <x:v>0.028966000000000002</x:v>
      </x:c>
      <x:c r="R45" s="46" t="n">
        <x:v>0.028966000000000002</x:v>
      </x:c>
      <x:c r="S45" s="46" t="n">
        <x:v>0.0028966000000000005</x:v>
      </x:c>
      <x:c r="T45" s="46" t="n">
        <x:v>0.0028966000000000005</x:v>
      </x:c>
      <x:c r="U45" s="46" t="n">
        <x:v>0.0028966000000000005</x:v>
      </x:c>
      <x:c r="V45" s="44" t="n">
        <x:v>1</x:v>
      </x:c>
      <x:c r="W45" s="44" t="n">
        <x:v>0</x:v>
      </x:c>
      <x:c r="X45" s="44" t="str">
        <x:v>AM-L08</x:v>
      </x:c>
    </x:row>
    <x:row r="46" ht="40" customHeight="1">
      <x:c r="A46" s="44" t="str">
        <x:v>Cardamom EO</x:v>
      </x:c>
      <x:c r="B46" s="44" t="str">
        <x:v>neat / as supplied</x:v>
      </x:c>
      <x:c r="C46" s="46" t="n">
        <x:v>1</x:v>
      </x:c>
      <x:c r="D46" s="44" t="str">
        <x:v>spice</x:v>
      </x:c>
      <x:c r="E46" s="44" t="str">
        <x:v>DIRECT</x:v>
      </x:c>
      <x:c r="F46" s="44" t="n">
        <x:v>81</x:v>
      </x:c>
      <x:c r="G46" s="44" t="n">
        <x:v>81</x:v>
      </x:c>
      <x:c r="H46" s="44" t="str">
        <x:v>Amouage, CHANEL, Dior, Kenny Originals, Prada, YSL</x:v>
      </x:c>
      <x:c r="I46" s="48" t="n">
        <x:v>0.854</x:v>
      </x:c>
      <x:c r="J46" s="48" t="n">
        <x:v>11.502</x:v>
      </x:c>
      <x:c r="K46" s="48" t="n">
        <x:v>24.359765432098765</x:v>
      </x:c>
      <x:c r="L46" s="48" t="n">
        <x:v>100</x:v>
      </x:c>
      <x:c r="M46" s="46" t="n">
        <x:v>0.000854</x:v>
      </x:c>
      <x:c r="N46" s="46" t="n">
        <x:v>0.011502000000000002</x:v>
      </x:c>
      <x:c r="O46" s="46" t="n">
        <x:v>0.1</x:v>
      </x:c>
      <x:c r="P46" s="46" t="n">
        <x:v>0.0001708</x:v>
      </x:c>
      <x:c r="Q46" s="46" t="n">
        <x:v>0.00260283</x:v>
      </x:c>
      <x:c r="R46" s="46" t="n">
        <x:v>0.022492849999999998</x:v>
      </x:c>
      <x:c r="S46" s="46" t="n">
        <x:v>0.0001708</x:v>
      </x:c>
      <x:c r="T46" s="46" t="n">
        <x:v>0.00260283</x:v>
      </x:c>
      <x:c r="U46" s="46" t="n">
        <x:v>0.022492849999999998</x:v>
      </x:c>
      <x:c r="V46" s="44" t="n">
        <x:v>0</x:v>
      </x:c>
      <x:c r="W46" s="44" t="n">
        <x:v>0</x:v>
      </x:c>
      <x:c r="X46" s="44" t="str">
        <x:v>AM-E01, AM-E02, AM-E03, AM-E04, AM-E05, AM-E06, AM-E07, AM-E08, AM-E09, AM-E10, AM-E11, AM-E12, AM-E13, AM-E14, AM-E15, AM-E16, AM-L01, AM-L02, AM-L03, AM-L04, AM-L05, AM-L06, AM-L07, AM-L08, AM-L09, AM-N01, AM-N02, AM-N03, AM-N04, AM-N05, AM-N06, AM-N07, AM-N08, AM-N09, AM-N10, AM-N11, AM-N12, AM-N13, AM-N14, AM-N15, AM-N16, C05, C07, C08, H01, H02, H03, H08, H11, H12, H14, H15, O01, O03, PR-E07, PR-E09, PR-L04, PR-L05, PR-N02, PR-N12, PR-N14, S01, S02, S03, S04, S06, S07, S08, Y02, Y03, Y04, Y05, Y06, Y07, Y08, Y09, Y10, Y11, Y12, Y13, Y14</x:v>
      </x:c>
    </x:row>
    <x:row r="47" ht="40" customHeight="1">
      <x:c r="A47" s="44" t="str">
        <x:v>Carrot Seed EO 1%</x:v>
      </x:c>
      <x:c r="B47" s="44" t="str">
        <x:v>1% working stock</x:v>
      </x:c>
      <x:c r="C47" s="46" t="n">
        <x:v>0.01</x:v>
      </x:c>
      <x:c r="D47" s="44" t="str">
        <x:v>Iris / violet</x:v>
      </x:c>
      <x:c r="E47" s="44" t="str">
        <x:v>TRACE PREMIX</x:v>
      </x:c>
      <x:c r="F47" s="44" t="n">
        <x:v>10</x:v>
      </x:c>
      <x:c r="G47" s="44" t="n">
        <x:v>10</x:v>
      </x:c>
      <x:c r="H47" s="44" t="str">
        <x:v>Amouage, Prada</x:v>
      </x:c>
      <x:c r="I47" s="48" t="n">
        <x:v>0.636</x:v>
      </x:c>
      <x:c r="J47" s="48" t="n">
        <x:v>4.2725</x:v>
      </x:c>
      <x:c r="K47" s="48" t="n">
        <x:v>4.5727</x:v>
      </x:c>
      <x:c r="L47" s="48" t="n">
        <x:v>9.576</x:v>
      </x:c>
      <x:c r="M47" s="46" t="n">
        <x:v>0.0006360000000000001</x:v>
      </x:c>
      <x:c r="N47" s="46" t="n">
        <x:v>0.0042725</x:v>
      </x:c>
      <x:c r="O47" s="46" t="n">
        <x:v>0.009576</x:v>
      </x:c>
      <x:c r="P47" s="46" t="n">
        <x:v>0.00013992</x:v>
      </x:c>
      <x:c r="Q47" s="46" t="n">
        <x:v>0.0013073000000000002</x:v>
      </x:c>
      <x:c r="R47" s="46" t="n">
        <x:v>0.002394</x:v>
      </x:c>
      <x:c r="S47" s="46" t="n">
        <x:v>0.0000013992</x:v>
      </x:c>
      <x:c r="T47" s="46" t="n">
        <x:v>0.000013073</x:v>
      </x:c>
      <x:c r="U47" s="46" t="n">
        <x:v>0.000023939999999999998</x:v>
      </x:c>
      <x:c r="V47" s="44" t="n">
        <x:v>0</x:v>
      </x:c>
      <x:c r="W47" s="44" t="n">
        <x:v>0</x:v>
      </x:c>
      <x:c r="X47" s="44" t="str">
        <x:v>AM-E01, AM-E09, AM-E10, AM-N01, AM-N12, AM-N16, PR-E02, PR-L03, PR-N02, PR-N11</x:v>
      </x:c>
    </x:row>
    <x:row r="48" ht="40" customHeight="1">
      <x:c r="A48" s="44" t="str">
        <x:v>Carrot Seed EO 10%</x:v>
      </x:c>
      <x:c r="B48" s="44" t="str">
        <x:v>10% working stock</x:v>
      </x:c>
      <x:c r="C48" s="46" t="n">
        <x:v>0.1</x:v>
      </x:c>
      <x:c r="D48" s="44" t="str">
        <x:v>orris_violet</x:v>
      </x:c>
      <x:c r="E48" s="44" t="str">
        <x:v>TRACE PREMIX</x:v>
      </x:c>
      <x:c r="F48" s="44" t="n">
        <x:v>18</x:v>
      </x:c>
      <x:c r="G48" s="44" t="n">
        <x:v>18</x:v>
      </x:c>
      <x:c r="H48" s="44" t="str">
        <x:v>CHANEL, Dior, Kenny Originals, YSL</x:v>
      </x:c>
      <x:c r="I48" s="48" t="n">
        <x:v>0.014</x:v>
      </x:c>
      <x:c r="J48" s="48" t="n">
        <x:v>0.1915</x:v>
      </x:c>
      <x:c r="K48" s="48" t="n">
        <x:v>1.7557777777777777</x:v>
      </x:c>
      <x:c r="L48" s="48" t="n">
        <x:v>10.501</x:v>
      </x:c>
      <x:c r="M48" s="46" t="n">
        <x:v>0.000014</x:v>
      </x:c>
      <x:c r="N48" s="46" t="n">
        <x:v>0.0001915</x:v>
      </x:c>
      <x:c r="O48" s="46" t="n">
        <x:v>0.010501</x:v>
      </x:c>
      <x:c r="P48" s="46" t="n">
        <x:v>0.0000028000000000000003</x:v>
      </x:c>
      <x:c r="Q48" s="46" t="n">
        <x:v>0.00004477</x:v>
      </x:c>
      <x:c r="R48" s="46" t="n">
        <x:v>0.00246075</x:v>
      </x:c>
      <x:c r="S48" s="46" t="n">
        <x:v>2.8e-7</x:v>
      </x:c>
      <x:c r="T48" s="46" t="n">
        <x:v>0.000004477</x:v>
      </x:c>
      <x:c r="U48" s="46" t="n">
        <x:v>0.000246075</x:v>
      </x:c>
      <x:c r="V48" s="44" t="n">
        <x:v>0</x:v>
      </x:c>
      <x:c r="W48" s="44" t="n">
        <x:v>0</x:v>
      </x:c>
      <x:c r="X48" s="44" t="str">
        <x:v>C01, H01, H02, H04, H05, H06, H07, H08, O01, O02, O04, Y06, Y07, Y09, Y10, Y11, Y12, Y13</x:v>
      </x:c>
    </x:row>
    <x:row r="49" ht="40" customHeight="1">
      <x:c r="A49" s="44" t="str">
        <x:v>Cashmeran 20%</x:v>
      </x:c>
      <x:c r="B49" s="44" t="str">
        <x:v>20% in DPG</x:v>
      </x:c>
      <x:c r="C49" s="46" t="n">
        <x:v>0.2</x:v>
      </x:c>
      <x:c r="D49" s="44" t="str">
        <x:v>Woods / amber</x:v>
      </x:c>
      <x:c r="E49" s="44" t="str">
        <x:v>PREPARED STOCK</x:v>
      </x:c>
      <x:c r="F49" s="44" t="n">
        <x:v>28</x:v>
      </x:c>
      <x:c r="G49" s="44" t="n">
        <x:v>28</x:v>
      </x:c>
      <x:c r="H49" s="44" t="str">
        <x:v>CHANEL, Dior, Prada, YSL</x:v>
      </x:c>
      <x:c r="I49" s="48" t="n">
        <x:v>3.279</x:v>
      </x:c>
      <x:c r="J49" s="48" t="n">
        <x:v>16.0845</x:v>
      </x:c>
      <x:c r="K49" s="48" t="n">
        <x:v>19.039892857142856</x:v>
      </x:c>
      <x:c r="L49" s="48" t="n">
        <x:v>53.292</x:v>
      </x:c>
      <x:c r="M49" s="46" t="n">
        <x:v>0.003279</x:v>
      </x:c>
      <x:c r="N49" s="46" t="n">
        <x:v>0.016084499999999998</x:v>
      </x:c>
      <x:c r="O49" s="46" t="n">
        <x:v>0.053292</x:v>
      </x:c>
      <x:c r="P49" s="46" t="n">
        <x:v>0.00039348000000000003</x:v>
      </x:c>
      <x:c r="Q49" s="46" t="n">
        <x:v>0.00334005</x:v>
      </x:c>
      <x:c r="R49" s="46" t="n">
        <x:v>0.01119875</x:v>
      </x:c>
      <x:c r="S49" s="46" t="n">
        <x:v>0.00007869600000000001</x:v>
      </x:c>
      <x:c r="T49" s="46" t="n">
        <x:v>0.00066801</x:v>
      </x:c>
      <x:c r="U49" s="46" t="n">
        <x:v>0.00223975</x:v>
      </x:c>
      <x:c r="V49" s="44" t="n">
        <x:v>0</x:v>
      </x:c>
      <x:c r="W49" s="44" t="n">
        <x:v>0</x:v>
      </x:c>
      <x:c r="X49" s="44" t="str">
        <x:v>C05, C07, C08, H14, H15, PR-E02, PR-E03, PR-E04, PR-E05, PR-E06, PR-E07, PR-E09, PR-L01, PR-L02, PR-L04, PR-L05, PR-N01, PR-N02, PR-N03, PR-N04, PR-N05, PR-N06, PR-N07, PR-N08, PR-N09, Y01, Y08, Y14</x:v>
      </x:c>
    </x:row>
    <x:row r="50" ht="40" customHeight="1">
      <x:c r="A50" s="44" t="str">
        <x:v>Castoreum 10%</x:v>
      </x:c>
      <x:c r="B50" s="44" t="str">
        <x:v>10% working dilution</x:v>
      </x:c>
      <x:c r="C50" s="46" t="n">
        <x:v>0.1</x:v>
      </x:c>
      <x:c r="D50" s="44" t="str">
        <x:v>Leather / smoke</x:v>
      </x:c>
      <x:c r="E50" s="44" t="str">
        <x:v>PREPARED STOCK</x:v>
      </x:c>
      <x:c r="F50" s="44" t="n">
        <x:v>26</x:v>
      </x:c>
      <x:c r="G50" s="44" t="n">
        <x:v>26</x:v>
      </x:c>
      <x:c r="H50" s="44" t="str">
        <x:v>Amouage, Prada</x:v>
      </x:c>
      <x:c r="I50" s="48" t="n">
        <x:v>1.884</x:v>
      </x:c>
      <x:c r="J50" s="48" t="n">
        <x:v>50.641</x:v>
      </x:c>
      <x:c r="K50" s="48" t="n">
        <x:v>53.90715384615385</x:v>
      </x:c>
      <x:c r="L50" s="48" t="n">
        <x:v>141.75</x:v>
      </x:c>
      <x:c r="M50" s="46" t="n">
        <x:v>0.0018839999999999998</x:v>
      </x:c>
      <x:c r="N50" s="46" t="n">
        <x:v>0.050641</x:v>
      </x:c>
      <x:c r="O50" s="46" t="n">
        <x:v>0.14175000000000001</x:v>
      </x:c>
      <x:c r="P50" s="46" t="n">
        <x:v>0.00047099999999999996</x:v>
      </x:c>
      <x:c r="Q50" s="46" t="n">
        <x:v>0.010885800000000001</x:v>
      </x:c>
      <x:c r="R50" s="46" t="n">
        <x:v>0.03483054000000001</x:v>
      </x:c>
      <x:c r="S50" s="46" t="n">
        <x:v>0.0000471</x:v>
      </x:c>
      <x:c r="T50" s="46" t="n">
        <x:v>0.00108858</x:v>
      </x:c>
      <x:c r="U50" s="46" t="n">
        <x:v>0.003483054000000001</x:v>
      </x:c>
      <x:c r="V50" s="44" t="n">
        <x:v>0</x:v>
      </x:c>
      <x:c r="W50" s="44" t="n">
        <x:v>0</x:v>
      </x:c>
      <x:c r="X50" s="44" t="str">
        <x:v>AM-E01, AM-E02, AM-E03, AM-E04, AM-E07, AM-E08, AM-E11, AM-E13, AM-E14, AM-E15, AM-L03, AM-L04, AM-L05, AM-L06, AM-L07, AM-L08, AM-L09, AM-N01, AM-N03, AM-N05, AM-N07, AM-N08, AM-N09, AM-N13, PR-E02, PR-E07</x:v>
      </x:c>
    </x:row>
    <x:row r="51" ht="40" customHeight="1">
      <x:c r="A51" s="44" t="str">
        <x:v>Castoreum Synthetic 10%</x:v>
      </x:c>
      <x:c r="B51" s="44" t="str">
        <x:v>10% prepared from neat</x:v>
      </x:c>
      <x:c r="C51" s="46" t="n">
        <x:v>0.1</x:v>
      </x:c>
      <x:c r="D51" s="44" t="str">
        <x:v>leather</x:v>
      </x:c>
      <x:c r="E51" s="44" t="str">
        <x:v>PREPARED STOCK</x:v>
      </x:c>
      <x:c r="F51" s="44" t="n">
        <x:v>8</x:v>
      </x:c>
      <x:c r="G51" s="44" t="n">
        <x:v>8</x:v>
      </x:c>
      <x:c r="H51" s="44" t="str">
        <x:v>Dior, Kenny Originals, YSL</x:v>
      </x:c>
      <x:c r="I51" s="48" t="n">
        <x:v>0.657</x:v>
      </x:c>
      <x:c r="J51" s="48" t="n">
        <x:v>11.448</x:v>
      </x:c>
      <x:c r="K51" s="48" t="n">
        <x:v>11.57975</x:v>
      </x:c>
      <x:c r="L51" s="48" t="n">
        <x:v>28.77</x:v>
      </x:c>
      <x:c r="M51" s="46" t="n">
        <x:v>0.000657</x:v>
      </x:c>
      <x:c r="N51" s="46" t="n">
        <x:v>0.011448</x:v>
      </x:c>
      <x:c r="O51" s="46" t="n">
        <x:v>0.028769999999999997</x:v>
      </x:c>
      <x:c r="P51" s="46" t="n">
        <x:v>0.00015160000000000003</x:v>
      </x:c>
      <x:c r="Q51" s="46" t="n">
        <x:v>0.0021876900000000004</x:v>
      </x:c>
      <x:c r="R51" s="46" t="n">
        <x:v>0.0063294</x:v>
      </x:c>
      <x:c r="S51" s="46" t="n">
        <x:v>0.000015160000000000002</x:v>
      </x:c>
      <x:c r="T51" s="46" t="n">
        <x:v>0.00021876900000000006</x:v>
      </x:c>
      <x:c r="U51" s="46" t="n">
        <x:v>0.00063294</x:v>
      </x:c>
      <x:c r="V51" s="44" t="n">
        <x:v>0</x:v>
      </x:c>
      <x:c r="W51" s="44" t="n">
        <x:v>0</x:v>
      </x:c>
      <x:c r="X51" s="44" t="str">
        <x:v>H01, H04, H06, H07, H08, O02, Y03, Y04</x:v>
      </x:c>
    </x:row>
    <x:row r="52" ht="40" customHeight="1">
      <x:c r="A52" s="44" t="str">
        <x:v>Cedarwood Atlas</x:v>
      </x:c>
      <x:c r="B52" s="44" t="str">
        <x:v>neat / as supplied; verify stock</x:v>
      </x:c>
      <x:c r="C52" s="46" t="n">
        <x:v>1</x:v>
      </x:c>
      <x:c r="D52" s="44" t="str">
        <x:v>Woods / amber</x:v>
      </x:c>
      <x:c r="E52" s="44" t="str">
        <x:v>VERIFY LABEL</x:v>
      </x:c>
      <x:c r="F52" s="44" t="n">
        <x:v>5</x:v>
      </x:c>
      <x:c r="G52" s="44" t="n">
        <x:v>5</x:v>
      </x:c>
      <x:c r="H52" s="44" t="str">
        <x:v>Prada, YSL</x:v>
      </x:c>
      <x:c r="I52" s="48" t="n">
        <x:v>1.057</x:v>
      </x:c>
      <x:c r="J52" s="48" t="n">
        <x:v>2.17</x:v>
      </x:c>
      <x:c r="K52" s="48" t="n">
        <x:v>25.4914</x:v>
      </x:c>
      <x:c r="L52" s="48" t="n">
        <x:v>86.616</x:v>
      </x:c>
      <x:c r="M52" s="46" t="n">
        <x:v>0.0010569999999999998</x:v>
      </x:c>
      <x:c r="N52" s="46" t="n">
        <x:v>0.00217</x:v>
      </x:c>
      <x:c r="O52" s="46" t="n">
        <x:v>0.086616</x:v>
      </x:c>
      <x:c r="P52" s="46" t="n">
        <x:v>0.00017429999999999998</x:v>
      </x:c>
      <x:c r="Q52" s="46" t="n">
        <x:v>0.00032549999999999994</x:v>
      </x:c>
      <x:c r="R52" s="46" t="n">
        <x:v>0.0129924</x:v>
      </x:c>
      <x:c r="S52" s="46" t="n">
        <x:v>0.00017429999999999998</x:v>
      </x:c>
      <x:c r="T52" s="46" t="n">
        <x:v>0.00032549999999999994</x:v>
      </x:c>
      <x:c r="U52" s="46" t="n">
        <x:v>0.0129924</x:v>
      </x:c>
      <x:c r="V52" s="44" t="n">
        <x:v>0</x:v>
      </x:c>
      <x:c r="W52" s="44" t="n">
        <x:v>5</x:v>
      </x:c>
      <x:c r="X52" s="44" t="str">
        <x:v>PR-L04, PR-L05, PR-N04, PR-N10, Y12</x:v>
      </x:c>
    </x:row>
    <x:row r="53" ht="40" customHeight="1">
      <x:c r="A53" s="44" t="str">
        <x:v>Cedarwood Virginia</x:v>
      </x:c>
      <x:c r="B53" s="44" t="str">
        <x:v>neat / as supplied</x:v>
      </x:c>
      <x:c r="C53" s="46" t="n">
        <x:v>1</x:v>
      </x:c>
      <x:c r="D53" s="44" t="str">
        <x:v>woods_amber</x:v>
      </x:c>
      <x:c r="E53" s="44" t="str">
        <x:v>DIRECT</x:v>
      </x:c>
      <x:c r="F53" s="44" t="n">
        <x:v>114</x:v>
      </x:c>
      <x:c r="G53" s="44" t="n">
        <x:v>114</x:v>
      </x:c>
      <x:c r="H53" s="44" t="str">
        <x:v>Amouage, CHANEL, Dior, Kenny Originals, Prada, YSL</x:v>
      </x:c>
      <x:c r="I53" s="48" t="n">
        <x:v>0.372</x:v>
      </x:c>
      <x:c r="J53" s="48" t="n">
        <x:v>20.257</x:v>
      </x:c>
      <x:c r="K53" s="48" t="n">
        <x:v>34.668578947368424</x:v>
      </x:c>
      <x:c r="L53" s="48" t="n">
        <x:v>179.999</x:v>
      </x:c>
      <x:c r="M53" s="46" t="n">
        <x:v>0.000372</x:v>
      </x:c>
      <x:c r="N53" s="46" t="n">
        <x:v>0.020257</x:v>
      </x:c>
      <x:c r="O53" s="46" t="n">
        <x:v>0.179999</x:v>
      </x:c>
      <x:c r="P53" s="46" t="n">
        <x:v>0.00008184</x:v>
      </x:c>
      <x:c r="Q53" s="46" t="n">
        <x:v>0.004605225</x:v>
      </x:c>
      <x:c r="R53" s="46" t="n">
        <x:v>0.04180715</x:v>
      </x:c>
      <x:c r="S53" s="46" t="n">
        <x:v>0.00008184</x:v>
      </x:c>
      <x:c r="T53" s="46" t="n">
        <x:v>0.004605225</x:v>
      </x:c>
      <x:c r="U53" s="46" t="n">
        <x:v>0.04180715</x:v>
      </x:c>
      <x:c r="V53" s="44" t="n">
        <x:v>0</x:v>
      </x:c>
      <x:c r="W53" s="44" t="n">
        <x:v>0</x:v>
      </x:c>
      <x:c r="X53"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PR-E03, PR-E04, PR-E05, PR-E06, PR-E07, PR-E09, PR-L01, PR-L02, PR-L03, PR-L04, PR-L05, PR-N01, PR-N02, PR-N03, PR-N04, PR-N05, PR-N06, PR-N07, PR-N08, PR-N09, PR-N10, S01, S02, S03, S04, S05, S06, S07, S08, Y01, Y02, Y03, Y04, Y05, Y06, Y07, Y08, Y09, Y10, Y11, Y12, Y13, Y14</x:v>
      </x:c>
    </x:row>
    <x:row r="54" ht="40" customHeight="1">
      <x:c r="A54" s="44" t="str">
        <x:v>Cedramber 10%</x:v>
      </x:c>
      <x:c r="B54" s="44" t="str">
        <x:v>10% in DPG</x:v>
      </x:c>
      <x:c r="C54" s="46" t="n">
        <x:v>0.1</x:v>
      </x:c>
      <x:c r="D54" s="44" t="str">
        <x:v>Woods / amber</x:v>
      </x:c>
      <x:c r="E54" s="44" t="str">
        <x:v>PREPARED STOCK</x:v>
      </x:c>
      <x:c r="F54" s="44" t="n">
        <x:v>7</x:v>
      </x:c>
      <x:c r="G54" s="44" t="n">
        <x:v>7</x:v>
      </x:c>
      <x:c r="H54" s="44" t="str">
        <x:v>CHANEL, Prada, YSL</x:v>
      </x:c>
      <x:c r="I54" s="48" t="n">
        <x:v>2.737</x:v>
      </x:c>
      <x:c r="J54" s="48" t="n">
        <x:v>7.695</x:v>
      </x:c>
      <x:c r="K54" s="48" t="n">
        <x:v>18.805142857142858</x:v>
      </x:c>
      <x:c r="L54" s="48" t="n">
        <x:v>46.028</x:v>
      </x:c>
      <x:c r="M54" s="46" t="n">
        <x:v>0.002737</x:v>
      </x:c>
      <x:c r="N54" s="46" t="n">
        <x:v>0.0076950000000000005</x:v>
      </x:c>
      <x:c r="O54" s="46" t="n">
        <x:v>0.046028</x:v>
      </x:c>
      <x:c r="P54" s="46" t="n">
        <x:v>0.00050775</x:v>
      </x:c>
      <x:c r="Q54" s="46" t="n">
        <x:v>0.0023085</x:v>
      </x:c>
      <x:c r="R54" s="46" t="n">
        <x:v>0.009800000000000001</x:v>
      </x:c>
      <x:c r="S54" s="46" t="n">
        <x:v>0.000050774999999999994</x:v>
      </x:c>
      <x:c r="T54" s="46" t="n">
        <x:v>0.00023085</x:v>
      </x:c>
      <x:c r="U54" s="46" t="n">
        <x:v>0.0009800000000000002</x:v>
      </x:c>
      <x:c r="V54" s="44" t="n">
        <x:v>0</x:v>
      </x:c>
      <x:c r="W54" s="44" t="n">
        <x:v>0</x:v>
      </x:c>
      <x:c r="X54" s="44" t="str">
        <x:v>C07, C08, PR-E02, PR-E04, PR-E07, Y01, Y08</x:v>
      </x:c>
    </x:row>
    <x:row r="55" ht="40" customHeight="1">
      <x:c r="A55" s="44" t="str">
        <x:v>Cedrat FCF Oil Sicilian</x:v>
      </x:c>
      <x:c r="B55" s="44" t="str">
        <x:v>neat</x:v>
      </x:c>
      <x:c r="C55" s="46" t="n">
        <x:v>1</x:v>
      </x:c>
      <x:c r="D55" s="44" t="str">
        <x:v>Citrus top</x:v>
      </x:c>
      <x:c r="E55" s="44" t="str">
        <x:v>DIRECT</x:v>
      </x:c>
      <x:c r="F55" s="44" t="n">
        <x:v>52</x:v>
      </x:c>
      <x:c r="G55" s="44" t="n">
        <x:v>52</x:v>
      </x:c>
      <x:c r="H55" s="44" t="str">
        <x:v>Amouage, CHANEL, Dior, Prada, YSL</x:v>
      </x:c>
      <x:c r="I55" s="48" t="n">
        <x:v>0.123</x:v>
      </x:c>
      <x:c r="J55" s="48" t="n">
        <x:v>2.082</x:v>
      </x:c>
      <x:c r="K55" s="48" t="n">
        <x:v>10.238403846153846</x:v>
      </x:c>
      <x:c r="L55" s="48" t="n">
        <x:v>128.783</x:v>
      </x:c>
      <x:c r="M55" s="46" t="n">
        <x:v>0.000123</x:v>
      </x:c>
      <x:c r="N55" s="46" t="n">
        <x:v>0.002082</x:v>
      </x:c>
      <x:c r="O55" s="46" t="n">
        <x:v>0.12878299999999998</x:v>
      </x:c>
      <x:c r="P55" s="46" t="n">
        <x:v>0.00002952</x:v>
      </x:c>
      <x:c r="Q55" s="46" t="n">
        <x:v>0.00038715</x:v>
      </x:c>
      <x:c r="R55" s="46" t="n">
        <x:v>0.01931745</x:v>
      </x:c>
      <x:c r="S55" s="46" t="n">
        <x:v>0.00002952</x:v>
      </x:c>
      <x:c r="T55" s="46" t="n">
        <x:v>0.00038715</x:v>
      </x:c>
      <x:c r="U55" s="46" t="n">
        <x:v>0.01931745</x:v>
      </x:c>
      <x:c r="V55" s="44" t="n">
        <x:v>0</x:v>
      </x:c>
      <x:c r="W55" s="44" t="n">
        <x:v>0</x:v>
      </x:c>
      <x:c r="X55" s="44" t="str">
        <x:v>AM-E01, AM-E02, AM-E03, AM-E04, AM-E05, AM-E06, AM-E07, AM-E08, AM-E09, AM-E10, AM-E12, AM-E14, AM-E15, AM-E16, AM-L01, AM-L02, AM-L03, AM-L04, AM-L06, AM-L08, AM-L09, AM-N02, AM-N04, AM-N05, AM-N06, AM-N07, AM-N09, AM-N10, AM-N11, AM-N12, AM-N13, AM-N14, AM-N15, AM-N16, C07, H11, H12, H14, H15, PR-E04, PR-E05, PR-E07, PR-L02, PR-N03, PR-N10, PR-N11, PR-N12, PR-N13, PR-N14, S03, Y01, Y08</x:v>
      </x:c>
    </x:row>
    <x:row r="56" ht="40" customHeight="1">
      <x:c r="A56" s="44" t="str">
        <x:v>Chrysanthemum Accord 10%</x:v>
      </x:c>
      <x:c r="B56" s="44" t="str">
        <x:v>10% target-required accord</x:v>
      </x:c>
      <x:c r="C56" s="46" t="n">
        <x:v>0.1</x:v>
      </x:c>
      <x:c r="D56" s="44" t="str">
        <x:v>Air floral</x:v>
      </x:c>
      <x:c r="E56" s="44" t="str">
        <x:v>TARGET REQUIRED / INVENTORY GAP</x:v>
      </x:c>
      <x:c r="F56" s="44" t="n">
        <x:v>1</x:v>
      </x:c>
      <x:c r="G56" s="44" t="n">
        <x:v>1</x:v>
      </x:c>
      <x:c r="H56" s="44" t="str">
        <x:v>Amouage</x:v>
      </x:c>
      <x:c r="I56" s="48" t="n">
        <x:v>131.883</x:v>
      </x:c>
      <x:c r="J56" s="48" t="n">
        <x:v>131.883</x:v>
      </x:c>
      <x:c r="K56" s="48" t="n">
        <x:v>131.883</x:v>
      </x:c>
      <x:c r="L56" s="48" t="n">
        <x:v>131.883</x:v>
      </x:c>
      <x:c r="M56" s="46" t="n">
        <x:v>0.13188300000000003</x:v>
      </x:c>
      <x:c r="N56" s="46" t="n">
        <x:v>0.13188300000000003</x:v>
      </x:c>
      <x:c r="O56" s="46" t="n">
        <x:v>0.13188300000000003</x:v>
      </x:c>
      <x:c r="P56" s="46" t="n">
        <x:v>0.03297075000000001</x:v>
      </x:c>
      <x:c r="Q56" s="46" t="n">
        <x:v>0.03297075000000001</x:v>
      </x:c>
      <x:c r="R56" s="46" t="n">
        <x:v>0.03297075000000001</x:v>
      </x:c>
      <x:c r="S56" s="46" t="n">
        <x:v>0.0032970750000000004</x:v>
      </x:c>
      <x:c r="T56" s="46" t="n">
        <x:v>0.0032970750000000004</x:v>
      </x:c>
      <x:c r="U56" s="46" t="n">
        <x:v>0.0032970750000000004</x:v>
      </x:c>
      <x:c r="V56" s="44" t="n">
        <x:v>1</x:v>
      </x:c>
      <x:c r="W56" s="44" t="n">
        <x:v>0</x:v>
      </x:c>
      <x:c r="X56" s="44" t="str">
        <x:v>AM-L03</x:v>
      </x:c>
    </x:row>
    <x:row r="57" ht="40" customHeight="1">
      <x:c r="A57" s="44" t="str">
        <x:v>Cinnamon Bark EO 1%</x:v>
      </x:c>
      <x:c r="B57" s="44" t="str">
        <x:v>1% in DPG</x:v>
      </x:c>
      <x:c r="C57" s="46" t="n">
        <x:v>0.01</x:v>
      </x:c>
      <x:c r="D57" s="44" t="str">
        <x:v>Spice</x:v>
      </x:c>
      <x:c r="E57" s="44" t="str">
        <x:v>TRACE PREMIX</x:v>
      </x:c>
      <x:c r="F57" s="44" t="n">
        <x:v>20</x:v>
      </x:c>
      <x:c r="G57" s="44" t="n">
        <x:v>20</x:v>
      </x:c>
      <x:c r="H57" s="44" t="str">
        <x:v>Amouage, Prada, YSL</x:v>
      </x:c>
      <x:c r="I57" s="48" t="n">
        <x:v>0.494</x:v>
      </x:c>
      <x:c r="J57" s="48" t="n">
        <x:v>6.3075</x:v>
      </x:c>
      <x:c r="K57" s="48" t="n">
        <x:v>7.1694</x:v>
      </x:c>
      <x:c r="L57" s="48" t="n">
        <x:v>18.532</x:v>
      </x:c>
      <x:c r="M57" s="46" t="n">
        <x:v>0.000494</x:v>
      </x:c>
      <x:c r="N57" s="46" t="n">
        <x:v>0.006307499999999999</x:v>
      </x:c>
      <x:c r="O57" s="46" t="n">
        <x:v>0.018532</x:v>
      </x:c>
      <x:c r="P57" s="46" t="n">
        <x:v>0.0000741</x:v>
      </x:c>
      <x:c r="Q57" s="46" t="n">
        <x:v>0.0015555150000000002</x:v>
      </x:c>
      <x:c r="R57" s="46" t="n">
        <x:v>0.0033357599999999997</x:v>
      </x:c>
      <x:c r="S57" s="46" t="n">
        <x:v>7.41e-7</x:v>
      </x:c>
      <x:c r="T57" s="46" t="n">
        <x:v>0.00001555515</x:v>
      </x:c>
      <x:c r="U57" s="46" t="n">
        <x:v>0.0000333576</x:v>
      </x:c>
      <x:c r="V57" s="44" t="n">
        <x:v>0</x:v>
      </x:c>
      <x:c r="W57" s="44" t="n">
        <x:v>0</x:v>
      </x:c>
      <x:c r="X57" s="44" t="str">
        <x:v>AM-E02, AM-E03, AM-E04, AM-E07, AM-E11, AM-E12, AM-E13, AM-L01, AM-L06, AM-L08, AM-N03, AM-N07, AM-N10, AM-N13, AM-N14, AM-N15, AM-N16, PR-N12, PR-N14, Y08</x:v>
      </x:c>
    </x:row>
    <x:row r="58" ht="40" customHeight="1">
      <x:c r="A58" s="44" t="str">
        <x:v>cis-3-Hexenol 1%</x:v>
      </x:c>
      <x:c r="B58" s="44" t="str">
        <x:v>1% working stock</x:v>
      </x:c>
      <x:c r="C58" s="46" t="n">
        <x:v>0.01</x:v>
      </x:c>
      <x:c r="D58" s="44" t="str">
        <x:v>green_fruit</x:v>
      </x:c>
      <x:c r="E58" s="44" t="str">
        <x:v>TRACE PREMIX</x:v>
      </x:c>
      <x:c r="F58" s="44" t="n">
        <x:v>8</x:v>
      </x:c>
      <x:c r="G58" s="44" t="n">
        <x:v>8</x:v>
      </x:c>
      <x:c r="H58" s="44" t="str">
        <x:v>CHANEL, Kenny Originals, YSL</x:v>
      </x:c>
      <x:c r="I58" s="48" t="n">
        <x:v>0.075</x:v>
      </x:c>
      <x:c r="J58" s="48" t="n">
        <x:v>0.1885</x:v>
      </x:c>
      <x:c r="K58" s="48" t="n">
        <x:v>2.957125</x:v>
      </x:c>
      <x:c r="L58" s="48" t="n">
        <x:v>19.517</x:v>
      </x:c>
      <x:c r="M58" s="46" t="n">
        <x:v>0.000075</x:v>
      </x:c>
      <x:c r="N58" s="46" t="n">
        <x:v>0.00018849999999999997</x:v>
      </x:c>
      <x:c r="O58" s="46" t="n">
        <x:v>0.019517</x:v>
      </x:c>
      <x:c r="P58" s="46" t="n">
        <x:v>0.000009</x:v>
      </x:c>
      <x:c r="Q58" s="46" t="n">
        <x:v>0.000027720000000000002</x:v>
      </x:c>
      <x:c r="R58" s="46" t="n">
        <x:v>0.0029275499999999997</x:v>
      </x:c>
      <x:c r="S58" s="46" t="n">
        <x:v>9e-8</x:v>
      </x:c>
      <x:c r="T58" s="46" t="n">
        <x:v>2.7719999999999997e-7</x:v>
      </x:c>
      <x:c r="U58" s="46" t="n">
        <x:v>0.0000292755</x:v>
      </x:c>
      <x:c r="V58" s="44" t="n">
        <x:v>0</x:v>
      </x:c>
      <x:c r="W58" s="44" t="n">
        <x:v>0</x:v>
      </x:c>
      <x:c r="X58" s="44" t="str">
        <x:v>C03, C04, O04, Y07, Y10, Y12, Y13, Y14</x:v>
      </x:c>
    </x:row>
    <x:row r="59" ht="40" customHeight="1">
      <x:c r="A59" s="44" t="str">
        <x:v>Citral 10%</x:v>
      </x:c>
      <x:c r="B59" s="44" t="str">
        <x:v>10% working stock</x:v>
      </x:c>
      <x:c r="C59" s="46" t="n">
        <x:v>0.1</x:v>
      </x:c>
      <x:c r="D59" s="44" t="str">
        <x:v>citrus_top</x:v>
      </x:c>
      <x:c r="E59" s="44" t="str">
        <x:v>PREPARED STOCK</x:v>
      </x:c>
      <x:c r="F59" s="44" t="n">
        <x:v>20</x:v>
      </x:c>
      <x:c r="G59" s="44" t="n">
        <x:v>20</x:v>
      </x:c>
      <x:c r="H59" s="44" t="str">
        <x:v>CHANEL, Dior, Kenny Originals, Prada, YSL</x:v>
      </x:c>
      <x:c r="I59" s="48" t="n">
        <x:v>0.735</x:v>
      </x:c>
      <x:c r="J59" s="48" t="n">
        <x:v>2.0869999999999997</x:v>
      </x:c>
      <x:c r="K59" s="48" t="n">
        <x:v>2.34935</x:v>
      </x:c>
      <x:c r="L59" s="48" t="n">
        <x:v>5.664</x:v>
      </x:c>
      <x:c r="M59" s="46" t="n">
        <x:v>0.000735</x:v>
      </x:c>
      <x:c r="N59" s="46" t="n">
        <x:v>0.002087</x:v>
      </x:c>
      <x:c r="O59" s="46" t="n">
        <x:v>0.005664</x:v>
      </x:c>
      <x:c r="P59" s="46" t="n">
        <x:v>0.00011984999999999999</x:v>
      </x:c>
      <x:c r="Q59" s="46" t="n">
        <x:v>0.000360525</x:v>
      </x:c>
      <x:c r="R59" s="46" t="n">
        <x:v>0.00101952</x:v>
      </x:c>
      <x:c r="S59" s="46" t="n">
        <x:v>0.000011985</x:v>
      </x:c>
      <x:c r="T59" s="46" t="n">
        <x:v>0.0000360525</x:v>
      </x:c>
      <x:c r="U59" s="46" t="n">
        <x:v>0.00010195200000000002</x:v>
      </x:c>
      <x:c r="V59" s="44" t="n">
        <x:v>0</x:v>
      </x:c>
      <x:c r="W59" s="44" t="n">
        <x:v>0</x:v>
      </x:c>
      <x:c r="X59" s="44" t="str">
        <x:v>C02, C05, H01, H02, H03, H09, H11, O01, PR-E01, S01, S02, S04, S07, S08, Y02, Y03, Y04, Y05, Y06, Y07</x:v>
      </x:c>
    </x:row>
    <x:row r="60" ht="40" customHeight="1">
      <x:c r="A60" s="44" t="str">
        <x:v>Citral Natural 10%</x:v>
      </x:c>
      <x:c r="B60" s="44" t="str">
        <x:v>10% working dilution</x:v>
      </x:c>
      <x:c r="C60" s="46" t="n">
        <x:v>0.1</x:v>
      </x:c>
      <x:c r="D60" s="44" t="str">
        <x:v>Citrus top</x:v>
      </x:c>
      <x:c r="E60" s="44" t="str">
        <x:v>PREPARED STOCK</x:v>
      </x:c>
      <x:c r="F60" s="44" t="n">
        <x:v>13</x:v>
      </x:c>
      <x:c r="G60" s="44" t="n">
        <x:v>13</x:v>
      </x:c>
      <x:c r="H60" s="44" t="str">
        <x:v>Amouage, Prada</x:v>
      </x:c>
      <x:c r="I60" s="48" t="n">
        <x:v>0.171</x:v>
      </x:c>
      <x:c r="J60" s="48" t="n">
        <x:v>3.292</x:v>
      </x:c>
      <x:c r="K60" s="48" t="n">
        <x:v>3.447769230769231</x:v>
      </x:c>
      <x:c r="L60" s="48" t="n">
        <x:v>7.234</x:v>
      </x:c>
      <x:c r="M60" s="46" t="n">
        <x:v>0.000171</x:v>
      </x:c>
      <x:c r="N60" s="46" t="n">
        <x:v>0.003292</x:v>
      </x:c>
      <x:c r="O60" s="46" t="n">
        <x:v>0.007234000000000001</x:v>
      </x:c>
      <x:c r="P60" s="46" t="n">
        <x:v>0.00009063000000000002</x:v>
      </x:c>
      <x:c r="Q60" s="46" t="n">
        <x:v>0.00078345</x:v>
      </x:c>
      <x:c r="R60" s="46" t="n">
        <x:v>0.0018085000000000002</x:v>
      </x:c>
      <x:c r="S60" s="46" t="n">
        <x:v>0.000009063000000000001</x:v>
      </x:c>
      <x:c r="T60" s="46" t="n">
        <x:v>0.000078345</x:v>
      </x:c>
      <x:c r="U60" s="46" t="n">
        <x:v>0.00018085</x:v>
      </x:c>
      <x:c r="V60" s="44" t="n">
        <x:v>0</x:v>
      </x:c>
      <x:c r="W60" s="44" t="n">
        <x:v>0</x:v>
      </x:c>
      <x:c r="X60" s="44" t="str">
        <x:v>AM-E04, AM-E12, AM-E16, AM-L02, AM-N04, AM-N14, AM-N15, PR-E05, PR-N03, PR-N10, PR-N11, PR-N12, PR-N13</x:v>
      </x:c>
    </x:row>
    <x:row r="61" ht="40" customHeight="1">
      <x:c r="A61" s="44" t="str">
        <x:v>Citronellol 10%</x:v>
      </x:c>
      <x:c r="B61" s="44" t="str">
        <x:v>10% working stock</x:v>
      </x:c>
      <x:c r="C61" s="46" t="n">
        <x:v>0.1</x:v>
      </x:c>
      <x:c r="D61" s="44" t="str">
        <x:v>air_floral</x:v>
      </x:c>
      <x:c r="E61" s="44" t="str">
        <x:v>PREPARED STOCK</x:v>
      </x:c>
      <x:c r="F61" s="44" t="n">
        <x:v>31</x:v>
      </x:c>
      <x:c r="G61" s="44" t="n">
        <x:v>31</x:v>
      </x:c>
      <x:c r="H61" s="44" t="str">
        <x:v>Amouage, CHANEL, Dior, Prada, YSL</x:v>
      </x:c>
      <x:c r="I61" s="48" t="n">
        <x:v>0.266</x:v>
      </x:c>
      <x:c r="J61" s="48" t="n">
        <x:v>3.806</x:v>
      </x:c>
      <x:c r="K61" s="48" t="n">
        <x:v>7.517161290322581</x:v>
      </x:c>
      <x:c r="L61" s="48" t="n">
        <x:v>49.645</x:v>
      </x:c>
      <x:c r="M61" s="46" t="n">
        <x:v>0.000266</x:v>
      </x:c>
      <x:c r="N61" s="46" t="n">
        <x:v>0.003806</x:v>
      </x:c>
      <x:c r="O61" s="46" t="n">
        <x:v>0.049645</x:v>
      </x:c>
      <x:c r="P61" s="46" t="n">
        <x:v>0.00006118000000000001</x:v>
      </x:c>
      <x:c r="Q61" s="46" t="n">
        <x:v>0.0007242000000000001</x:v>
      </x:c>
      <x:c r="R61" s="46" t="n">
        <x:v>0.0089361</x:v>
      </x:c>
      <x:c r="S61" s="46" t="n">
        <x:v>0.0000061180000000000005</x:v>
      </x:c>
      <x:c r="T61" s="46" t="n">
        <x:v>0.00007242000000000001</x:v>
      </x:c>
      <x:c r="U61" s="46" t="n">
        <x:v>0.0008936100000000001</x:v>
      </x:c>
      <x:c r="V61" s="44" t="n">
        <x:v>0</x:v>
      </x:c>
      <x:c r="W61" s="44" t="n">
        <x:v>0</x:v>
      </x:c>
      <x:c r="X61" s="44" t="str">
        <x:v>AM-E01, AM-E02, AM-E04, AM-E05, AM-E07, AM-E09, AM-E11, AM-E14, AM-E15, AM-L01, AM-L04, AM-L08, AM-N04, AM-N05, AM-N06, AM-N15, C01, H06, H13, H14, H15, PR-E01, PR-E03, PR-E09, PR-L04, PR-N06, S01, S02, S03, Y06, Y14</x:v>
      </x:c>
    </x:row>
    <x:row r="62" ht="40" customHeight="1">
      <x:c r="A62" s="44" t="str">
        <x:v>Civet Base 10%</x:v>
      </x:c>
      <x:c r="B62" s="44" t="str">
        <x:v>10% target-required accord</x:v>
      </x:c>
      <x:c r="C62" s="46" t="n">
        <x:v>0.1</x:v>
      </x:c>
      <x:c r="D62" s="44" t="str">
        <x:v>Leather / smoke</x:v>
      </x:c>
      <x:c r="E62" s="44" t="str">
        <x:v>TARGET REQUIRED / INVENTORY GAP</x:v>
      </x:c>
      <x:c r="F62" s="44" t="n">
        <x:v>1</x:v>
      </x:c>
      <x:c r="G62" s="44" t="n">
        <x:v>1</x:v>
      </x:c>
      <x:c r="H62" s="44" t="str">
        <x:v>Amouage</x:v>
      </x:c>
      <x:c r="I62" s="48" t="n">
        <x:v>40.501</x:v>
      </x:c>
      <x:c r="J62" s="48" t="n">
        <x:v>40.501</x:v>
      </x:c>
      <x:c r="K62" s="48" t="n">
        <x:v>40.501</x:v>
      </x:c>
      <x:c r="L62" s="48" t="n">
        <x:v>40.501</x:v>
      </x:c>
      <x:c r="M62" s="46" t="n">
        <x:v>0.040500999999999995</x:v>
      </x:c>
      <x:c r="N62" s="46" t="n">
        <x:v>0.040500999999999995</x:v>
      </x:c>
      <x:c r="O62" s="46" t="n">
        <x:v>0.040500999999999995</x:v>
      </x:c>
      <x:c r="P62" s="46" t="n">
        <x:v>0.0081002</x:v>
      </x:c>
      <x:c r="Q62" s="46" t="n">
        <x:v>0.0081002</x:v>
      </x:c>
      <x:c r="R62" s="46" t="n">
        <x:v>0.0081002</x:v>
      </x:c>
      <x:c r="S62" s="46" t="n">
        <x:v>0.0008100200000000001</x:v>
      </x:c>
      <x:c r="T62" s="46" t="n">
        <x:v>0.0008100200000000001</x:v>
      </x:c>
      <x:c r="U62" s="46" t="n">
        <x:v>0.0008100200000000001</x:v>
      </x:c>
      <x:c r="V62" s="44" t="n">
        <x:v>1</x:v>
      </x:c>
      <x:c r="W62" s="44" t="n">
        <x:v>0</x:v>
      </x:c>
      <x:c r="X62" s="44" t="str">
        <x:v>AM-N05</x:v>
      </x:c>
    </x:row>
    <x:row r="63" ht="40" customHeight="1">
      <x:c r="A63" s="44" t="str">
        <x:v>Clary Sage EO</x:v>
      </x:c>
      <x:c r="B63" s="44" t="str">
        <x:v>neat / as supplied</x:v>
      </x:c>
      <x:c r="C63" s="46" t="n">
        <x:v>1</x:v>
      </x:c>
      <x:c r="D63" s="44" t="str">
        <x:v>aromatic_top</x:v>
      </x:c>
      <x:c r="E63" s="44" t="str">
        <x:v>DIRECT</x:v>
      </x:c>
      <x:c r="F63" s="44" t="n">
        <x:v>79</x:v>
      </x:c>
      <x:c r="G63" s="44" t="n">
        <x:v>79</x:v>
      </x:c>
      <x:c r="H63" s="44" t="str">
        <x:v>Amouage, CHANEL, Dior, Kenny Originals, Prada, YSL</x:v>
      </x:c>
      <x:c r="I63" s="48" t="n">
        <x:v>0.373</x:v>
      </x:c>
      <x:c r="J63" s="48" t="n">
        <x:v>3.768</x:v>
      </x:c>
      <x:c r="K63" s="48" t="n">
        <x:v>6.355696202531646</x:v>
      </x:c>
      <x:c r="L63" s="48" t="n">
        <x:v>37.185</x:v>
      </x:c>
      <x:c r="M63" s="46" t="n">
        <x:v>0.000373</x:v>
      </x:c>
      <x:c r="N63" s="46" t="n">
        <x:v>0.0037679999999999996</x:v>
      </x:c>
      <x:c r="O63" s="46" t="n">
        <x:v>0.037185</x:v>
      </x:c>
      <x:c r="P63" s="46" t="n">
        <x:v>0.0000746</x:v>
      </x:c>
      <x:c r="Q63" s="46" t="n">
        <x:v>0.00082156</x:v>
      </x:c>
      <x:c r="R63" s="46" t="n">
        <x:v>0.007343</x:v>
      </x:c>
      <x:c r="S63" s="46" t="n">
        <x:v>0.0000746</x:v>
      </x:c>
      <x:c r="T63" s="46" t="n">
        <x:v>0.00082156</x:v>
      </x:c>
      <x:c r="U63" s="46" t="n">
        <x:v>0.007343</x:v>
      </x:c>
      <x:c r="V63" s="44" t="n">
        <x:v>0</x:v>
      </x:c>
      <x:c r="W63" s="44" t="n">
        <x:v>0</x:v>
      </x:c>
      <x:c r="X63" s="44" t="str">
        <x:v>AM-E01, AM-E02, AM-E03, AM-E04, AM-E05, AM-E06, AM-E07, AM-E08, AM-E09, AM-E10, AM-E11, AM-E12, AM-E13, AM-E14, AM-E15, AM-E16, AM-L01, AM-L02, AM-L03, AM-L04, AM-L05, AM-L06, AM-L07, AM-L08, AM-L09, AM-N01, AM-N02, AM-N03, AM-N04, AM-N05, AM-N06, AM-N07, AM-N08, AM-N09, AM-N10, AM-N11, AM-N12, AM-N13, AM-N14, AM-N15, AM-N16, C05, C07, C08, H01, H02, H03, H08, H11, H13, H14, O01, O03, PR-E01, PR-E03, PR-E04, PR-E05, PR-E06, PR-E07, PR-E09, PR-L01, PR-L04, PR-N01, PR-N02, PR-N13, S01, S02, S03, S04, S07, S08, Y01, Y02, Y03, Y04, Y05, Y06, Y07, Y08</x:v>
      </x:c>
    </x:row>
    <x:row r="64" ht="40" customHeight="1">
      <x:c r="A64" s="44" t="str">
        <x:v>Clearwood</x:v>
      </x:c>
      <x:c r="B64" s="44" t="str">
        <x:v>neat / as supplied</x:v>
      </x:c>
      <x:c r="C64" s="46" t="n">
        <x:v>1</x:v>
      </x:c>
      <x:c r="D64" s="44" t="str">
        <x:v>woods_amber</x:v>
      </x:c>
      <x:c r="E64" s="44" t="str">
        <x:v>DIRECT</x:v>
      </x:c>
      <x:c r="F64" s="44" t="n">
        <x:v>95</x:v>
      </x:c>
      <x:c r="G64" s="44" t="n">
        <x:v>95</x:v>
      </x:c>
      <x:c r="H64" s="44" t="str">
        <x:v>Amouage, CHANEL, Dior, Kenny Originals, Prada, YSL</x:v>
      </x:c>
      <x:c r="I64" s="48" t="n">
        <x:v>0.05</x:v>
      </x:c>
      <x:c r="J64" s="48" t="n">
        <x:v>9.572</x:v>
      </x:c>
      <x:c r="K64" s="48" t="n">
        <x:v>12.498863157894737</x:v>
      </x:c>
      <x:c r="L64" s="48" t="n">
        <x:v>73.328</x:v>
      </x:c>
      <x:c r="M64" s="46" t="n">
        <x:v>0.00005</x:v>
      </x:c>
      <x:c r="N64" s="46" t="n">
        <x:v>0.009571999999999999</x:v>
      </x:c>
      <x:c r="O64" s="46" t="n">
        <x:v>0.073328</x:v>
      </x:c>
      <x:c r="P64" s="46" t="n">
        <x:v>0.0000102</x:v>
      </x:c>
      <x:c r="Q64" s="46" t="n">
        <x:v>0.0022806000000000002</x:v>
      </x:c>
      <x:c r="R64" s="46" t="n">
        <x:v>0.018332</x:v>
      </x:c>
      <x:c r="S64" s="46" t="n">
        <x:v>0.0000102</x:v>
      </x:c>
      <x:c r="T64" s="46" t="n">
        <x:v>0.0022806000000000002</x:v>
      </x:c>
      <x:c r="U64" s="46" t="n">
        <x:v>0.018332</x:v>
      </x:c>
      <x:c r="V64" s="44" t="n">
        <x:v>0</x:v>
      </x:c>
      <x:c r="W64" s="44" t="n">
        <x:v>0</x:v>
      </x:c>
      <x:c r="X64" s="44" t="str">
        <x:v>AM-E01, AM-E02, AM-E03, AM-E04, AM-E05, AM-E06, AM-E07, AM-E08, AM-E09, AM-E10, AM-E11, AM-E12, AM-E13, AM-E14, AM-E15, AM-E16, AM-L01, AM-L02, AM-L03, AM-L04, AM-L05, AM-L06, AM-L07, AM-L08, AM-L09, AM-N01, AM-N02, AM-N03, AM-N04, AM-N05, AM-N06, AM-N07, AM-N08, AM-N09, AM-N10, AM-N11, AM-N12, AM-N13, AM-N14, AM-N15, AM-N16, C07, C08, H01, H02, H03, H04, H05, H06, H07, H08, H10, H11, H12, H13, H14, H15, O01, O03, O05, O06, PR-E01, PR-E02, PR-E04, PR-E05, PR-E07, PR-E09, PR-N01, PR-N02, PR-N03, PR-N05, PR-N06, PR-N07, PR-N08, PR-N09, S01, S02, S03, S04, S05, S06, S07, S08, Y01, Y02, Y03, Y04, Y05, Y06, Y07, Y08, Y10, Y12, Y13, Y14</x:v>
      </x:c>
    </x:row>
    <x:row r="65" ht="40" customHeight="1">
      <x:c r="A65" s="44" t="str">
        <x:v>Cocoa Absolute 10%</x:v>
      </x:c>
      <x:c r="B65" s="44" t="str">
        <x:v>10% target-required working dilution</x:v>
      </x:c>
      <x:c r="C65" s="46" t="n">
        <x:v>0.1</x:v>
      </x:c>
      <x:c r="D65" s="44" t="str">
        <x:v>Sweet balsamic</x:v>
      </x:c>
      <x:c r="E65" s="44" t="str">
        <x:v>TARGET REQUIRED / INVENTORY GAP</x:v>
      </x:c>
      <x:c r="F65" s="44" t="n">
        <x:v>5</x:v>
      </x:c>
      <x:c r="G65" s="44" t="n">
        <x:v>5</x:v>
      </x:c>
      <x:c r="H65" s="44" t="str">
        <x:v>Amouage, Dior</x:v>
      </x:c>
      <x:c r="I65" s="48" t="n">
        <x:v>58.117</x:v>
      </x:c>
      <x:c r="J65" s="48" t="n">
        <x:v>69.545</x:v>
      </x:c>
      <x:c r="K65" s="48" t="n">
        <x:v>74.8172</x:v>
      </x:c>
      <x:c r="L65" s="48" t="n">
        <x:v>98.997</x:v>
      </x:c>
      <x:c r="M65" s="46" t="n">
        <x:v>0.058117</x:v>
      </x:c>
      <x:c r="N65" s="46" t="n">
        <x:v>0.06954500000000001</x:v>
      </x:c>
      <x:c r="O65" s="46" t="n">
        <x:v>0.09899699999999999</x:v>
      </x:c>
      <x:c r="P65" s="46" t="n">
        <x:v>0.0058116999999999995</x:v>
      </x:c>
      <x:c r="Q65" s="46" t="n">
        <x:v>0.017386250000000002</x:v>
      </x:c>
      <x:c r="R65" s="46" t="n">
        <x:v>0.024749249999999997</x:v>
      </x:c>
      <x:c r="S65" s="46" t="n">
        <x:v>0.00058117</x:v>
      </x:c>
      <x:c r="T65" s="46" t="n">
        <x:v>0.0017386250000000004</x:v>
      </x:c>
      <x:c r="U65" s="46" t="n">
        <x:v>0.002474925</x:v>
      </x:c>
      <x:c r="V65" s="44" t="n">
        <x:v>5</x:v>
      </x:c>
      <x:c r="W65" s="44" t="n">
        <x:v>0</x:v>
      </x:c>
      <x:c r="X65" s="44" t="str">
        <x:v>AM-E12, AM-N10, H01, H07, H08</x:v>
      </x:c>
    </x:row>
    <x:row r="66" ht="40" customHeight="1">
      <x:c r="A66" s="44" t="str">
        <x:v>Coffee CO2 10%</x:v>
      </x:c>
      <x:c r="B66" s="44" t="str">
        <x:v>10% target-required working dilution</x:v>
      </x:c>
      <x:c r="C66" s="46" t="n">
        <x:v>0.1</x:v>
      </x:c>
      <x:c r="D66" s="44" t="str">
        <x:v>Sweet balsamic</x:v>
      </x:c>
      <x:c r="E66" s="44" t="str">
        <x:v>TARGET REQUIRED / INVENTORY GAP</x:v>
      </x:c>
      <x:c r="F66" s="44" t="n">
        <x:v>1</x:v>
      </x:c>
      <x:c r="G66" s="44" t="n">
        <x:v>1</x:v>
      </x:c>
      <x:c r="H66" s="44" t="str">
        <x:v>Dior</x:v>
      </x:c>
      <x:c r="I66" s="48" t="n">
        <x:v>88.033</x:v>
      </x:c>
      <x:c r="J66" s="48" t="n">
        <x:v>88.033</x:v>
      </x:c>
      <x:c r="K66" s="48" t="n">
        <x:v>88.033</x:v>
      </x:c>
      <x:c r="L66" s="48" t="n">
        <x:v>88.033</x:v>
      </x:c>
      <x:c r="M66" s="46" t="n">
        <x:v>0.088033</x:v>
      </x:c>
      <x:c r="N66" s="46" t="n">
        <x:v>0.088033</x:v>
      </x:c>
      <x:c r="O66" s="46" t="n">
        <x:v>0.088033</x:v>
      </x:c>
      <x:c r="P66" s="46" t="n">
        <x:v>0.02200825</x:v>
      </x:c>
      <x:c r="Q66" s="46" t="n">
        <x:v>0.02200825</x:v>
      </x:c>
      <x:c r="R66" s="46" t="n">
        <x:v>0.02200825</x:v>
      </x:c>
      <x:c r="S66" s="46" t="n">
        <x:v>0.002200825</x:v>
      </x:c>
      <x:c r="T66" s="46" t="n">
        <x:v>0.002200825</x:v>
      </x:c>
      <x:c r="U66" s="46" t="n">
        <x:v>0.002200825</x:v>
      </x:c>
      <x:c r="V66" s="44" t="n">
        <x:v>1</x:v>
      </x:c>
      <x:c r="W66" s="44" t="n">
        <x:v>0</x:v>
      </x:c>
      <x:c r="X66" s="44" t="str">
        <x:v>H07</x:v>
      </x:c>
    </x:row>
    <x:row r="67" ht="40" customHeight="1">
      <x:c r="A67" s="44" t="str">
        <x:v>Cognac EO 10%</x:v>
      </x:c>
      <x:c r="B67" s="44" t="str">
        <x:v>10% target-required working dilution</x:v>
      </x:c>
      <x:c r="C67" s="46" t="n">
        <x:v>0.1</x:v>
      </x:c>
      <x:c r="D67" s="44" t="str">
        <x:v>Sweet balsamic</x:v>
      </x:c>
      <x:c r="E67" s="44" t="str">
        <x:v>TARGET REQUIRED / INVENTORY GAP</x:v>
      </x:c>
      <x:c r="F67" s="44" t="n">
        <x:v>1</x:v>
      </x:c>
      <x:c r="G67" s="44" t="n">
        <x:v>1</x:v>
      </x:c>
      <x:c r="H67" s="44" t="str">
        <x:v>Amouage</x:v>
      </x:c>
      <x:c r="I67" s="48" t="n">
        <x:v>69.312</x:v>
      </x:c>
      <x:c r="J67" s="48" t="n">
        <x:v>69.312</x:v>
      </x:c>
      <x:c r="K67" s="48" t="n">
        <x:v>69.312</x:v>
      </x:c>
      <x:c r="L67" s="48" t="n">
        <x:v>69.312</x:v>
      </x:c>
      <x:c r="M67" s="46" t="n">
        <x:v>0.069312</x:v>
      </x:c>
      <x:c r="N67" s="46" t="n">
        <x:v>0.069312</x:v>
      </x:c>
      <x:c r="O67" s="46" t="n">
        <x:v>0.069312</x:v>
      </x:c>
      <x:c r="P67" s="46" t="n">
        <x:v>0.02148672</x:v>
      </x:c>
      <x:c r="Q67" s="46" t="n">
        <x:v>0.02148672</x:v>
      </x:c>
      <x:c r="R67" s="46" t="n">
        <x:v>0.02148672</x:v>
      </x:c>
      <x:c r="S67" s="46" t="n">
        <x:v>0.002148672</x:v>
      </x:c>
      <x:c r="T67" s="46" t="n">
        <x:v>0.002148672</x:v>
      </x:c>
      <x:c r="U67" s="46" t="n">
        <x:v>0.002148672</x:v>
      </x:c>
      <x:c r="V67" s="44" t="n">
        <x:v>1</x:v>
      </x:c>
      <x:c r="W67" s="44" t="n">
        <x:v>0</x:v>
      </x:c>
      <x:c r="X67" s="44" t="str">
        <x:v>AM-E02</x:v>
      </x:c>
    </x:row>
    <x:row r="68" ht="40" customHeight="1">
      <x:c r="A68" s="44" t="str">
        <x:v>Coriander EO</x:v>
      </x:c>
      <x:c r="B68" s="44" t="str">
        <x:v>neat / as supplied</x:v>
      </x:c>
      <x:c r="C68" s="46" t="n">
        <x:v>1</x:v>
      </x:c>
      <x:c r="D68" s="44" t="str">
        <x:v>spice</x:v>
      </x:c>
      <x:c r="E68" s="44" t="str">
        <x:v>DIRECT</x:v>
      </x:c>
      <x:c r="F68" s="44" t="n">
        <x:v>71</x:v>
      </x:c>
      <x:c r="G68" s="44" t="n">
        <x:v>71</x:v>
      </x:c>
      <x:c r="H68" s="44" t="str">
        <x:v>Amouage, CHANEL, Dior, Kenny Originals, Prada, YSL</x:v>
      </x:c>
      <x:c r="I68" s="48" t="n">
        <x:v>0.569</x:v>
      </x:c>
      <x:c r="J68" s="48" t="n">
        <x:v>10.591</x:v>
      </x:c>
      <x:c r="K68" s="48" t="n">
        <x:v>17.66770422535211</x:v>
      </x:c>
      <x:c r="L68" s="48" t="n">
        <x:v>129.355</x:v>
      </x:c>
      <x:c r="M68" s="46" t="n">
        <x:v>0.000569</x:v>
      </x:c>
      <x:c r="N68" s="46" t="n">
        <x:v>0.010591</x:v>
      </x:c>
      <x:c r="O68" s="46" t="n">
        <x:v>0.129355</x:v>
      </x:c>
      <x:c r="P68" s="46" t="n">
        <x:v>0.0001138</x:v>
      </x:c>
      <x:c r="Q68" s="46" t="n">
        <x:v>0.0026215</x:v>
      </x:c>
      <x:c r="R68" s="46" t="n">
        <x:v>0.02</x:v>
      </x:c>
      <x:c r="S68" s="46" t="n">
        <x:v>0.0001138</x:v>
      </x:c>
      <x:c r="T68" s="46" t="n">
        <x:v>0.0026215</x:v>
      </x:c>
      <x:c r="U68" s="46" t="n">
        <x:v>0.02</x:v>
      </x:c>
      <x:c r="V68" s="44" t="n">
        <x:v>0</x:v>
      </x:c>
      <x:c r="W68" s="44" t="n">
        <x:v>0</x:v>
      </x:c>
      <x:c r="X68" s="44" t="str">
        <x:v>AM-E01, AM-E02, AM-E03, AM-E04, AM-E05, AM-E06, AM-E07, AM-E08, AM-E09, AM-E10, AM-E11, AM-E12, AM-E13, AM-E14, AM-E15, AM-E16, AM-L01, AM-L02, AM-L03, AM-L04, AM-L05, AM-L06, AM-L07, AM-L08, AM-L09, AM-N01, AM-N02, AM-N03, AM-N04, AM-N05, AM-N06, AM-N07, AM-N08, AM-N09, AM-N10, AM-N11, AM-N12, AM-N13, AM-N14, AM-N15, AM-N16, C01, H01, H02, H03, H08, H10, H11, H12, H13, H14, H15, O01, O03, O05, PR-E03, S01, S02, S03, S04, S06, S07, S08, Y02, Y03, Y04, Y05, Y06, Y07, Y10, Y12</x:v>
      </x:c>
    </x:row>
    <x:row r="69" ht="40" customHeight="1">
      <x:c r="A69" s="44" t="str">
        <x:v>Coriander Seed EO</x:v>
      </x:c>
      <x:c r="B69" s="44" t="str">
        <x:v>neat</x:v>
      </x:c>
      <x:c r="C69" s="46" t="n">
        <x:v>1</x:v>
      </x:c>
      <x:c r="D69" s="44" t="str">
        <x:v>Spice</x:v>
      </x:c>
      <x:c r="E69" s="44" t="str">
        <x:v>DIRECT</x:v>
      </x:c>
      <x:c r="F69" s="44" t="n">
        <x:v>3</x:v>
      </x:c>
      <x:c r="G69" s="44" t="n">
        <x:v>3</x:v>
      </x:c>
      <x:c r="H69" s="44" t="str">
        <x:v>CHANEL, YSL</x:v>
      </x:c>
      <x:c r="I69" s="48" t="n">
        <x:v>1.388</x:v>
      </x:c>
      <x:c r="J69" s="48" t="n">
        <x:v>4.69</x:v>
      </x:c>
      <x:c r="K69" s="48" t="n">
        <x:v>4.867333333333333</x:v>
      </x:c>
      <x:c r="L69" s="48" t="n">
        <x:v>8.524</x:v>
      </x:c>
      <x:c r="M69" s="46" t="n">
        <x:v>0.0013879999999999997</x:v>
      </x:c>
      <x:c r="N69" s="46" t="n">
        <x:v>0.004690000000000001</x:v>
      </x:c>
      <x:c r="O69" s="46" t="n">
        <x:v>0.008523999999999999</x:v>
      </x:c>
      <x:c r="P69" s="46" t="n">
        <x:v>0.0003469999999999999</x:v>
      </x:c>
      <x:c r="Q69" s="46" t="n">
        <x:v>0.0007034999999999999</x:v>
      </x:c>
      <x:c r="R69" s="46" t="n">
        <x:v>0.0012785999999999997</x:v>
      </x:c>
      <x:c r="S69" s="46" t="n">
        <x:v>0.0003469999999999999</x:v>
      </x:c>
      <x:c r="T69" s="46" t="n">
        <x:v>0.0007034999999999999</x:v>
      </x:c>
      <x:c r="U69" s="46" t="n">
        <x:v>0.0012785999999999997</x:v>
      </x:c>
      <x:c r="V69" s="44" t="n">
        <x:v>0</x:v>
      </x:c>
      <x:c r="W69" s="44" t="n">
        <x:v>0</x:v>
      </x:c>
      <x:c r="X69" s="44" t="str">
        <x:v>C07, Y01, Y08</x:v>
      </x:c>
    </x:row>
    <x:row r="70" ht="40" customHeight="1">
      <x:c r="A70" s="44" t="str">
        <x:v>Costus Olifac 10%</x:v>
      </x:c>
      <x:c r="B70" s="44" t="str">
        <x:v>10% working dilution</x:v>
      </x:c>
      <x:c r="C70" s="46" t="n">
        <x:v>0.1</x:v>
      </x:c>
      <x:c r="D70" s="44" t="str">
        <x:v>Leather / smoke</x:v>
      </x:c>
      <x:c r="E70" s="44" t="str">
        <x:v>PREPARED STOCK</x:v>
      </x:c>
      <x:c r="F70" s="44" t="n">
        <x:v>27</x:v>
      </x:c>
      <x:c r="G70" s="44" t="n">
        <x:v>27</x:v>
      </x:c>
      <x:c r="H70" s="44" t="str">
        <x:v>Amouage</x:v>
      </x:c>
      <x:c r="I70" s="48" t="n">
        <x:v>1.15</x:v>
      </x:c>
      <x:c r="J70" s="48" t="n">
        <x:v>34.313</x:v>
      </x:c>
      <x:c r="K70" s="48" t="n">
        <x:v>45.452925925925925</x:v>
      </x:c>
      <x:c r="L70" s="48" t="n">
        <x:v>153.626</x:v>
      </x:c>
      <x:c r="M70" s="46" t="n">
        <x:v>0.00115</x:v>
      </x:c>
      <x:c r="N70" s="46" t="n">
        <x:v>0.034313</x:v>
      </x:c>
      <x:c r="O70" s="46" t="n">
        <x:v>0.153626</x:v>
      </x:c>
      <x:c r="P70" s="46" t="n">
        <x:v>0.00026450000000000003</x:v>
      </x:c>
      <x:c r="Q70" s="46" t="n">
        <x:v>0.00823512</x:v>
      </x:c>
      <x:c r="R70" s="46" t="n">
        <x:v>0.0384065</x:v>
      </x:c>
      <x:c r="S70" s="46" t="n">
        <x:v>0.000026450000000000003</x:v>
      </x:c>
      <x:c r="T70" s="46" t="n">
        <x:v>0.0008235120000000001</x:v>
      </x:c>
      <x:c r="U70" s="46" t="n">
        <x:v>0.0038406500000000006</x:v>
      </x:c>
      <x:c r="V70" s="44" t="n">
        <x:v>0</x:v>
      </x:c>
      <x:c r="W70" s="44" t="n">
        <x:v>0</x:v>
      </x:c>
      <x:c r="X70" s="44" t="str">
        <x:v>AM-E01, AM-E02, AM-E03, AM-E04, AM-E05, AM-E06, AM-E07, AM-E08, AM-E11, AM-E13, AM-E14, AM-E15, AM-E16, AM-L03, AM-L04, AM-L05, AM-L06, AM-L07, AM-L08, AM-L09, AM-N01, AM-N03, AM-N05, AM-N07, AM-N08, AM-N09, AM-N13</x:v>
      </x:c>
    </x:row>
    <x:row r="71" ht="40" customHeight="1">
      <x:c r="A71" s="44" t="str">
        <x:v>Coumarin 20%</x:v>
      </x:c>
      <x:c r="B71" s="44" t="str">
        <x:v>20% in DPG</x:v>
      </x:c>
      <x:c r="C71" s="46" t="n">
        <x:v>0.2</x:v>
      </x:c>
      <x:c r="D71" s="44" t="str">
        <x:v>sweet_balsamic</x:v>
      </x:c>
      <x:c r="E71" s="44" t="str">
        <x:v>PREPARED STOCK</x:v>
      </x:c>
      <x:c r="F71" s="44" t="n">
        <x:v>98</x:v>
      </x:c>
      <x:c r="G71" s="44" t="n">
        <x:v>98</x:v>
      </x:c>
      <x:c r="H71" s="44" t="str">
        <x:v>Amouage, CHANEL, Dior, Kenny Originals, Prada, YSL</x:v>
      </x:c>
      <x:c r="I71" s="48" t="n">
        <x:v>0.878</x:v>
      </x:c>
      <x:c r="J71" s="48" t="n">
        <x:v>12.2605</x:v>
      </x:c>
      <x:c r="K71" s="48" t="n">
        <x:v>26.095663265306122</x:v>
      </x:c>
      <x:c r="L71" s="48" t="n">
        <x:v>180</x:v>
      </x:c>
      <x:c r="M71" s="46" t="n">
        <x:v>0.000878</x:v>
      </x:c>
      <x:c r="N71" s="46" t="n">
        <x:v>0.012260499999999999</x:v>
      </x:c>
      <x:c r="O71" s="46" t="n">
        <x:v>0.18</x:v>
      </x:c>
      <x:c r="P71" s="46" t="n">
        <x:v>0.00015180000000000003</x:v>
      </x:c>
      <x:c r="Q71" s="46" t="n">
        <x:v>0.00292825</x:v>
      </x:c>
      <x:c r="R71" s="46" t="n">
        <x:v>0.039599999999999996</x:v>
      </x:c>
      <x:c r="S71" s="46" t="n">
        <x:v>0.000030360000000000004</x:v>
      </x:c>
      <x:c r="T71" s="46" t="n">
        <x:v>0.0005856500000000001</x:v>
      </x:c>
      <x:c r="U71" s="46" t="n">
        <x:v>0.00792</x:v>
      </x:c>
      <x:c r="V71" s="44" t="n">
        <x:v>0</x:v>
      </x:c>
      <x:c r="W71" s="44" t="n">
        <x:v>0</x:v>
      </x:c>
      <x:c r="X71" s="44" t="str">
        <x:v>AM-E01, AM-E02, AM-E03, AM-E04, AM-E05, AM-E06, AM-E07, AM-E08, AM-E09, AM-E10, AM-E11, AM-E12, AM-E13, AM-E14, AM-E15, AM-E16, AM-L02, AM-L03, AM-L04, AM-L05, AM-L06, AM-L07, AM-L08, AM-L09, AM-N01, AM-N02, AM-N03, AM-N04, AM-N05, AM-N06, AM-N07, AM-N08, AM-N09, AM-N10, AM-N11, AM-N12, AM-N13, AM-N14, AM-N15, AM-N16, C01, C02, C03, C04, C05, C06, C07, C08, H01, H04, H05, H06, H07, H08, H13, H14, H15, O01, O02, O03, O04, O05, PR-E01, PR-E02, PR-E03, PR-E04, PR-E05, PR-E06, PR-E07, PR-E08, PR-L01, PR-L02, PR-L04, PR-N01, PR-N02, PR-N05, PR-N06, PR-N07, PR-N08, PR-N12, S04, S05, S06, S08, Y01, Y02, Y03, Y04, Y05, Y06, Y07, Y08, Y09, Y10, Y11, Y12, Y13, Y14</x:v>
      </x:c>
    </x:row>
    <x:row r="72" ht="40" customHeight="1">
      <x:c r="A72" s="44" t="str">
        <x:v>Cumin EO 10%</x:v>
      </x:c>
      <x:c r="B72" s="44" t="str">
        <x:v>10% target-required working dilution</x:v>
      </x:c>
      <x:c r="C72" s="46" t="n">
        <x:v>0.1</x:v>
      </x:c>
      <x:c r="D72" s="44" t="str">
        <x:v>Spice</x:v>
      </x:c>
      <x:c r="E72" s="44" t="str">
        <x:v>TARGET REQUIRED / INVENTORY GAP</x:v>
      </x:c>
      <x:c r="F72" s="44" t="n">
        <x:v>1</x:v>
      </x:c>
      <x:c r="G72" s="44" t="n">
        <x:v>1</x:v>
      </x:c>
      <x:c r="H72" s="44" t="str">
        <x:v>Amouage</x:v>
      </x:c>
      <x:c r="I72" s="48" t="n">
        <x:v>21.333</x:v>
      </x:c>
      <x:c r="J72" s="48" t="n">
        <x:v>21.333</x:v>
      </x:c>
      <x:c r="K72" s="48" t="n">
        <x:v>21.333</x:v>
      </x:c>
      <x:c r="L72" s="48" t="n">
        <x:v>21.333</x:v>
      </x:c>
      <x:c r="M72" s="46" t="n">
        <x:v>0.021332999999999998</x:v>
      </x:c>
      <x:c r="N72" s="46" t="n">
        <x:v>0.021332999999999998</x:v>
      </x:c>
      <x:c r="O72" s="46" t="n">
        <x:v>0.021332999999999998</x:v>
      </x:c>
      <x:c r="P72" s="46" t="n">
        <x:v>0.006399899999999999</x:v>
      </x:c>
      <x:c r="Q72" s="46" t="n">
        <x:v>0.006399899999999999</x:v>
      </x:c>
      <x:c r="R72" s="46" t="n">
        <x:v>0.006399899999999999</x:v>
      </x:c>
      <x:c r="S72" s="46" t="n">
        <x:v>0.00063999</x:v>
      </x:c>
      <x:c r="T72" s="46" t="n">
        <x:v>0.00063999</x:v>
      </x:c>
      <x:c r="U72" s="46" t="n">
        <x:v>0.00063999</x:v>
      </x:c>
      <x:c r="V72" s="44" t="n">
        <x:v>1</x:v>
      </x:c>
      <x:c r="W72" s="44" t="n">
        <x:v>0</x:v>
      </x:c>
      <x:c r="X72" s="44" t="str">
        <x:v>AM-N15</x:v>
      </x:c>
    </x:row>
    <x:row r="73" ht="40" customHeight="1">
      <x:c r="A73" s="44" t="str">
        <x:v>Cyclamen Aldehyde 10%</x:v>
      </x:c>
      <x:c r="B73" s="44" t="str">
        <x:v>10% working stock</x:v>
      </x:c>
      <x:c r="C73" s="46" t="n">
        <x:v>0.1</x:v>
      </x:c>
      <x:c r="D73" s="44" t="str">
        <x:v>marine_green</x:v>
      </x:c>
      <x:c r="E73" s="44" t="str">
        <x:v>PREPARED STOCK</x:v>
      </x:c>
      <x:c r="F73" s="44" t="n">
        <x:v>16</x:v>
      </x:c>
      <x:c r="G73" s="44" t="n">
        <x:v>16</x:v>
      </x:c>
      <x:c r="H73" s="44" t="str">
        <x:v>CHANEL, Dior, Kenny Originals, Prada, YSL</x:v>
      </x:c>
      <x:c r="I73" s="48" t="n">
        <x:v>0.043</x:v>
      </x:c>
      <x:c r="J73" s="48" t="n">
        <x:v>2.9749999999999996</x:v>
      </x:c>
      <x:c r="K73" s="48" t="n">
        <x:v>20.758187500000002</x:v>
      </x:c>
      <x:c r="L73" s="48" t="n">
        <x:v>106.366</x:v>
      </x:c>
      <x:c r="M73" s="46" t="n">
        <x:v>0.000043</x:v>
      </x:c>
      <x:c r="N73" s="46" t="n">
        <x:v>0.0029749999999999998</x:v>
      </x:c>
      <x:c r="O73" s="46" t="n">
        <x:v>0.106366</x:v>
      </x:c>
      <x:c r="P73" s="46" t="n">
        <x:v>0.000007739999999999999</x:v>
      </x:c>
      <x:c r="Q73" s="46" t="n">
        <x:v>0.000509535</x:v>
      </x:c>
      <x:c r="R73" s="46" t="n">
        <x:v>0.012227599999999998</x:v>
      </x:c>
      <x:c r="S73" s="46" t="n">
        <x:v>7.74e-7</x:v>
      </x:c>
      <x:c r="T73" s="46" t="n">
        <x:v>0.0000509535</x:v>
      </x:c>
      <x:c r="U73" s="46" t="n">
        <x:v>0.00122276</x:v>
      </x:c>
      <x:c r="V73" s="44" t="n">
        <x:v>0</x:v>
      </x:c>
      <x:c r="W73" s="44" t="n">
        <x:v>0</x:v>
      </x:c>
      <x:c r="X73" s="44" t="str">
        <x:v>C03, C04, C06, C07, O03, PR-E03, PR-E06, PR-L02, PR-L05, PR-N01, PR-N03, S07, Y05, Y08, Y12, Y13</x:v>
      </x:c>
    </x:row>
    <x:row r="74" ht="40" customHeight="1">
      <x:c r="A74" s="44" t="str">
        <x:v>Cypress EO</x:v>
      </x:c>
      <x:c r="B74" s="44" t="str">
        <x:v>target-required authentic material</x:v>
      </x:c>
      <x:c r="C74" s="46" t="n">
        <x:v>1</x:v>
      </x:c>
      <x:c r="D74" s="44" t="str">
        <x:v>Woods / amber</x:v>
      </x:c>
      <x:c r="E74" s="44" t="str">
        <x:v>TARGET REQUIRED / INVENTORY GAP</x:v>
      </x:c>
      <x:c r="F74" s="44" t="n">
        <x:v>3</x:v>
      </x:c>
      <x:c r="G74" s="44" t="n">
        <x:v>3</x:v>
      </x:c>
      <x:c r="H74" s="44" t="str">
        <x:v>Amouage, CHANEL, Prada</x:v>
      </x:c>
      <x:c r="I74" s="48" t="n">
        <x:v>5.856</x:v>
      </x:c>
      <x:c r="J74" s="48" t="n">
        <x:v>17.296</x:v>
      </x:c>
      <x:c r="K74" s="48" t="n">
        <x:v>17.257333333333335</x:v>
      </x:c>
      <x:c r="L74" s="48" t="n">
        <x:v>28.62</x:v>
      </x:c>
      <x:c r="M74" s="46" t="n">
        <x:v>0.005856</x:v>
      </x:c>
      <x:c r="N74" s="46" t="n">
        <x:v>0.017296</x:v>
      </x:c>
      <x:c r="O74" s="46" t="n">
        <x:v>0.02862</x:v>
      </x:c>
      <x:c r="P74" s="46" t="n">
        <x:v>0.001464</x:v>
      </x:c>
      <x:c r="Q74" s="46" t="n">
        <x:v>0.0034592</x:v>
      </x:c>
      <x:c r="R74" s="46" t="n">
        <x:v>0.005724</x:v>
      </x:c>
      <x:c r="S74" s="46" t="n">
        <x:v>0.001464</x:v>
      </x:c>
      <x:c r="T74" s="46" t="n">
        <x:v>0.0034592</x:v>
      </x:c>
      <x:c r="U74" s="46" t="n">
        <x:v>0.005724</x:v>
      </x:c>
      <x:c r="V74" s="44" t="n">
        <x:v>3</x:v>
      </x:c>
      <x:c r="W74" s="44" t="n">
        <x:v>0</x:v>
      </x:c>
      <x:c r="X74" s="44" t="str">
        <x:v>AM-N10, C05, PR-E04</x:v>
      </x:c>
    </x:row>
    <x:row r="75" ht="40" customHeight="1">
      <x:c r="A75" s="44" t="str">
        <x:v>D-Limonene</x:v>
      </x:c>
      <x:c r="B75" s="44" t="str">
        <x:v>neat / as supplied</x:v>
      </x:c>
      <x:c r="C75" s="46" t="n">
        <x:v>1</x:v>
      </x:c>
      <x:c r="D75" s="44" t="str">
        <x:v>Citrus top</x:v>
      </x:c>
      <x:c r="E75" s="44" t="str">
        <x:v>DIRECT</x:v>
      </x:c>
      <x:c r="F75" s="44" t="n">
        <x:v>39</x:v>
      </x:c>
      <x:c r="G75" s="44" t="n">
        <x:v>39</x:v>
      </x:c>
      <x:c r="H75" s="44" t="str">
        <x:v>Amouage, Prada</x:v>
      </x:c>
      <x:c r="I75" s="48" t="n">
        <x:v>0.107</x:v>
      </x:c>
      <x:c r="J75" s="48" t="n">
        <x:v>0.757</x:v>
      </x:c>
      <x:c r="K75" s="48" t="n">
        <x:v>2.4475128205128205</x:v>
      </x:c>
      <x:c r="L75" s="48" t="n">
        <x:v>12.659</x:v>
      </x:c>
      <x:c r="M75" s="46" t="n">
        <x:v>0.000107</x:v>
      </x:c>
      <x:c r="N75" s="46" t="n">
        <x:v>0.0007570000000000001</x:v>
      </x:c>
      <x:c r="O75" s="46" t="n">
        <x:v>0.012659</x:v>
      </x:c>
      <x:c r="P75" s="46" t="n">
        <x:v>0.000025679999999999998</x:v>
      </x:c>
      <x:c r="Q75" s="46" t="n">
        <x:v>0.000215</x:v>
      </x:c>
      <x:c r="R75" s="46" t="n">
        <x:v>0.00316475</x:v>
      </x:c>
      <x:c r="S75" s="46" t="n">
        <x:v>0.000025679999999999998</x:v>
      </x:c>
      <x:c r="T75" s="46" t="n">
        <x:v>0.000215</x:v>
      </x:c>
      <x:c r="U75" s="46" t="n">
        <x:v>0.00316475</x:v>
      </x:c>
      <x:c r="V75" s="44" t="n">
        <x:v>0</x:v>
      </x:c>
      <x:c r="W75" s="44" t="n">
        <x:v>0</x:v>
      </x:c>
      <x:c r="X75" s="44" t="str">
        <x:v>AM-E01, AM-E02, AM-E03, AM-E04, AM-E05, AM-E06, AM-E07, AM-E08, AM-E09, AM-E10, AM-E12, AM-E14, AM-E15, AM-E16, AM-L01, AM-L02, AM-L03, AM-L04, AM-L06, AM-L08, AM-L09, AM-N02, AM-N04, AM-N05, AM-N06, AM-N07, AM-N09, AM-N10, AM-N11, AM-N13, AM-N14, AM-N15, PR-E05, PR-N03, PR-N10, PR-N11, PR-N12, PR-N13, PR-N14</x:v>
      </x:c>
    </x:row>
    <x:row r="76" ht="40" customHeight="1">
      <x:c r="A76" s="44" t="str">
        <x:v>Damascenone 1%</x:v>
      </x:c>
      <x:c r="B76" s="44" t="str">
        <x:v>1% working stock</x:v>
      </x:c>
      <x:c r="C76" s="46" t="n">
        <x:v>0.01</x:v>
      </x:c>
      <x:c r="D76" s="44" t="str">
        <x:v>orris_violet</x:v>
      </x:c>
      <x:c r="E76" s="44" t="str">
        <x:v>TRACE PREMIX</x:v>
      </x:c>
      <x:c r="F76" s="44" t="n">
        <x:v>27</x:v>
      </x:c>
      <x:c r="G76" s="44" t="n">
        <x:v>27</x:v>
      </x:c>
      <x:c r="H76" s="44" t="str">
        <x:v>CHANEL, Dior, Kenny Originals, Prada, YSL</x:v>
      </x:c>
      <x:c r="I76" s="48" t="n">
        <x:v>0.028</x:v>
      </x:c>
      <x:c r="J76" s="48" t="n">
        <x:v>0.062</x:v>
      </x:c>
      <x:c r="K76" s="48" t="n">
        <x:v>0.17177777777777778</x:v>
      </x:c>
      <x:c r="L76" s="48" t="n">
        <x:v>1.499</x:v>
      </x:c>
      <x:c r="M76" s="46" t="n">
        <x:v>0.000028</x:v>
      </x:c>
      <x:c r="N76" s="46" t="n">
        <x:v>0.000062</x:v>
      </x:c>
      <x:c r="O76" s="46" t="n">
        <x:v>0.0014990000000000001</x:v>
      </x:c>
      <x:c r="P76" s="46" t="n">
        <x:v>0.0000042</x:v>
      </x:c>
      <x:c r="Q76" s="46" t="n">
        <x:v>0.0000132</x:v>
      </x:c>
      <x:c r="R76" s="46" t="n">
        <x:v>0.00032978</x:v>
      </x:c>
      <x:c r="S76" s="46" t="n">
        <x:v>4.2e-8</x:v>
      </x:c>
      <x:c r="T76" s="46" t="n">
        <x:v>1.3200000000000002e-7</x:v>
      </x:c>
      <x:c r="U76" s="46" t="n">
        <x:v>0.0000032978</x:v>
      </x:c>
      <x:c r="V76" s="44" t="n">
        <x:v>0</x:v>
      </x:c>
      <x:c r="W76" s="44" t="n">
        <x:v>0</x:v>
      </x:c>
      <x:c r="X76" s="44" t="str">
        <x:v>C01, C02, C03, C06, H10, H15, O03, O04, O05, PR-E02, PR-E04, S02, S04, S05, S06, S08, Y02, Y04, Y05, Y06, Y07, Y09, Y10, Y11, Y12, Y13, Y14</x:v>
      </x:c>
    </x:row>
    <x:row r="77" ht="40" customHeight="1">
      <x:c r="A77" s="44" t="str">
        <x:v>Davana EO 10%</x:v>
      </x:c>
      <x:c r="B77" s="44" t="str">
        <x:v>10% target-required working dilution</x:v>
      </x:c>
      <x:c r="C77" s="46" t="n">
        <x:v>0.1</x:v>
      </x:c>
      <x:c r="D77" s="44" t="str">
        <x:v>Aromatic top</x:v>
      </x:c>
      <x:c r="E77" s="44" t="str">
        <x:v>TARGET REQUIRED / INVENTORY GAP</x:v>
      </x:c>
      <x:c r="F77" s="44" t="n">
        <x:v>1</x:v>
      </x:c>
      <x:c r="G77" s="44" t="n">
        <x:v>1</x:v>
      </x:c>
      <x:c r="H77" s="44" t="str">
        <x:v>Amouage</x:v>
      </x:c>
      <x:c r="I77" s="48" t="n">
        <x:v>21.333</x:v>
      </x:c>
      <x:c r="J77" s="48" t="n">
        <x:v>21.333</x:v>
      </x:c>
      <x:c r="K77" s="48" t="n">
        <x:v>21.333</x:v>
      </x:c>
      <x:c r="L77" s="48" t="n">
        <x:v>21.333</x:v>
      </x:c>
      <x:c r="M77" s="46" t="n">
        <x:v>0.021332999999999998</x:v>
      </x:c>
      <x:c r="N77" s="46" t="n">
        <x:v>0.021332999999999998</x:v>
      </x:c>
      <x:c r="O77" s="46" t="n">
        <x:v>0.021332999999999998</x:v>
      </x:c>
      <x:c r="P77" s="46" t="n">
        <x:v>0.006399899999999999</x:v>
      </x:c>
      <x:c r="Q77" s="46" t="n">
        <x:v>0.006399899999999999</x:v>
      </x:c>
      <x:c r="R77" s="46" t="n">
        <x:v>0.006399899999999999</x:v>
      </x:c>
      <x:c r="S77" s="46" t="n">
        <x:v>0.00063999</x:v>
      </x:c>
      <x:c r="T77" s="46" t="n">
        <x:v>0.00063999</x:v>
      </x:c>
      <x:c r="U77" s="46" t="n">
        <x:v>0.00063999</x:v>
      </x:c>
      <x:c r="V77" s="44" t="n">
        <x:v>1</x:v>
      </x:c>
      <x:c r="W77" s="44" t="n">
        <x:v>0</x:v>
      </x:c>
      <x:c r="X77" s="44" t="str">
        <x:v>AM-N15</x:v>
      </x:c>
    </x:row>
    <x:row r="78" ht="40" customHeight="1">
      <x:c r="A78" s="44" t="str">
        <x:v>Dihydro Beta Ionone</x:v>
      </x:c>
      <x:c r="B78" s="44" t="str">
        <x:v>neat / as supplied</x:v>
      </x:c>
      <x:c r="C78" s="46" t="n">
        <x:v>1</x:v>
      </x:c>
      <x:c r="D78" s="44" t="str">
        <x:v>orris_violet</x:v>
      </x:c>
      <x:c r="E78" s="44" t="str">
        <x:v>DIRECT</x:v>
      </x:c>
      <x:c r="F78" s="44" t="n">
        <x:v>19</x:v>
      </x:c>
      <x:c r="G78" s="44" t="n">
        <x:v>19</x:v>
      </x:c>
      <x:c r="H78" s="44" t="str">
        <x:v>Dior, Kenny Originals, Prada, YSL</x:v>
      </x:c>
      <x:c r="I78" s="48" t="n">
        <x:v>0.971</x:v>
      </x:c>
      <x:c r="J78" s="48" t="n">
        <x:v>18.223</x:v>
      </x:c>
      <x:c r="K78" s="48" t="n">
        <x:v>17.669473684210526</x:v>
      </x:c>
      <x:c r="L78" s="48" t="n">
        <x:v>34.127</x:v>
      </x:c>
      <x:c r="M78" s="46" t="n">
        <x:v>0.000971</x:v>
      </x:c>
      <x:c r="N78" s="46" t="n">
        <x:v>0.018223</x:v>
      </x:c>
      <x:c r="O78" s="46" t="n">
        <x:v>0.034127</x:v>
      </x:c>
      <x:c r="P78" s="46" t="n">
        <x:v>0.00020060000000000002</x:v>
      </x:c>
      <x:c r="Q78" s="46" t="n">
        <x:v>0.00352682</x:v>
      </x:c>
      <x:c r="R78" s="46" t="n">
        <x:v>0.006825400000000001</x:v>
      </x:c>
      <x:c r="S78" s="46" t="n">
        <x:v>0.00020060000000000002</x:v>
      </x:c>
      <x:c r="T78" s="46" t="n">
        <x:v>0.00352682</x:v>
      </x:c>
      <x:c r="U78" s="46" t="n">
        <x:v>0.006825400000000001</x:v>
      </x:c>
      <x:c r="V78" s="44" t="n">
        <x:v>0</x:v>
      </x:c>
      <x:c r="W78" s="44" t="n">
        <x:v>0</x:v>
      </x:c>
      <x:c r="X78" s="44" t="str">
        <x:v>H01, H02, H04, H05, H06, H07, H08, O01, O02, O03, O04, PR-E01, PR-E02, Y03, Y04, Y06, Y07, Y09, Y11</x:v>
      </x:c>
    </x:row>
    <x:row r="79" ht="40" customHeight="1">
      <x:c r="A79" s="44" t="str">
        <x:v>Dihydro Beta Ionone 10%</x:v>
      </x:c>
      <x:c r="B79" s="44" t="str">
        <x:v>10% working stock</x:v>
      </x:c>
      <x:c r="C79" s="46" t="n">
        <x:v>0.1</x:v>
      </x:c>
      <x:c r="D79" s="44" t="str">
        <x:v>Iris / violet</x:v>
      </x:c>
      <x:c r="E79" s="44" t="str">
        <x:v>PREPARED STOCK</x:v>
      </x:c>
      <x:c r="F79" s="44" t="n">
        <x:v>15</x:v>
      </x:c>
      <x:c r="G79" s="44" t="n">
        <x:v>15</x:v>
      </x:c>
      <x:c r="H79" s="44" t="str">
        <x:v>Amouage, Prada, YSL</x:v>
      </x:c>
      <x:c r="I79" s="48" t="n">
        <x:v>3.823</x:v>
      </x:c>
      <x:c r="J79" s="48" t="n">
        <x:v>10.475</x:v>
      </x:c>
      <x:c r="K79" s="48" t="n">
        <x:v>14.739933333333333</x:v>
      </x:c>
      <x:c r="L79" s="48" t="n">
        <x:v>38.491</x:v>
      </x:c>
      <x:c r="M79" s="46" t="n">
        <x:v>0.0038229999999999996</x:v>
      </x:c>
      <x:c r="N79" s="46" t="n">
        <x:v>0.010474999999999998</x:v>
      </x:c>
      <x:c r="O79" s="46" t="n">
        <x:v>0.038491</x:v>
      </x:c>
      <x:c r="P79" s="46" t="n">
        <x:v>0.00057345</x:v>
      </x:c>
      <x:c r="Q79" s="46" t="n">
        <x:v>0.00262922</x:v>
      </x:c>
      <x:c r="R79" s="46" t="n">
        <x:v>0.00577365</x:v>
      </x:c>
      <x:c r="S79" s="46" t="n">
        <x:v>0.000057345</x:v>
      </x:c>
      <x:c r="T79" s="46" t="n">
        <x:v>0.000262922</x:v>
      </x:c>
      <x:c r="U79" s="46" t="n">
        <x:v>0.000577365</x:v>
      </x:c>
      <x:c r="V79" s="44" t="n">
        <x:v>0</x:v>
      </x:c>
      <x:c r="W79" s="44" t="n">
        <x:v>0</x:v>
      </x:c>
      <x:c r="X79" s="44" t="str">
        <x:v>AM-E01, AM-E09, AM-E10, AM-L07, AM-N01, AM-N12, AM-N16, PR-L03, PR-L04, PR-L05, PR-N02, PR-N03, PR-N04, PR-N11, Y01</x:v>
      </x:c>
    </x:row>
    <x:row r="80" ht="40" customHeight="1">
      <x:c r="A80" s="44" t="str">
        <x:v>Dihydromyrcenol</x:v>
      </x:c>
      <x:c r="B80" s="44" t="str">
        <x:v>neat / as supplied</x:v>
      </x:c>
      <x:c r="C80" s="46" t="n">
        <x:v>1</x:v>
      </x:c>
      <x:c r="D80" s="44" t="str">
        <x:v>aromatic_top</x:v>
      </x:c>
      <x:c r="E80" s="44" t="str">
        <x:v>DIRECT</x:v>
      </x:c>
      <x:c r="F80" s="44" t="n">
        <x:v>71</x:v>
      </x:c>
      <x:c r="G80" s="44" t="n">
        <x:v>71</x:v>
      </x:c>
      <x:c r="H80" s="44" t="str">
        <x:v>Amouage, CHANEL, Dior, Prada, YSL</x:v>
      </x:c>
      <x:c r="I80" s="48" t="n">
        <x:v>0.59</x:v>
      </x:c>
      <x:c r="J80" s="48" t="n">
        <x:v>6.63</x:v>
      </x:c>
      <x:c r="K80" s="48" t="n">
        <x:v>10.45356338028169</x:v>
      </x:c>
      <x:c r="L80" s="48" t="n">
        <x:v>73.431</x:v>
      </x:c>
      <x:c r="M80" s="46" t="n">
        <x:v>0.0005899999999999999</x:v>
      </x:c>
      <x:c r="N80" s="46" t="n">
        <x:v>0.0066300000000000005</x:v>
      </x:c>
      <x:c r="O80" s="46" t="n">
        <x:v>0.073431</x:v>
      </x:c>
      <x:c r="P80" s="46" t="n">
        <x:v>0.000118</x:v>
      </x:c>
      <x:c r="Q80" s="46" t="n">
        <x:v>0.00128775</x:v>
      </x:c>
      <x:c r="R80" s="46" t="n">
        <x:v>0.012483270000000001</x:v>
      </x:c>
      <x:c r="S80" s="46" t="n">
        <x:v>0.000118</x:v>
      </x:c>
      <x:c r="T80" s="46" t="n">
        <x:v>0.00128775</x:v>
      </x:c>
      <x:c r="U80" s="46" t="n">
        <x:v>0.012483270000000001</x:v>
      </x:c>
      <x:c r="V80" s="44" t="n">
        <x:v>0</x:v>
      </x:c>
      <x:c r="W80" s="44" t="n">
        <x:v>0</x:v>
      </x:c>
      <x:c r="X80" s="44" t="str">
        <x:v>AM-E01, AM-E02, AM-E03, AM-E04, AM-E05, AM-E06, AM-E07, AM-E08, AM-E09, AM-E10, AM-E11, AM-E12, AM-E13, AM-E14, AM-E15, AM-E16, AM-L01, AM-L02, AM-L03, AM-L04, AM-L05, AM-L06, AM-L07, AM-L08, AM-L09, AM-N01, AM-N02, AM-N03, AM-N04, AM-N05, AM-N06, AM-N07, AM-N08, AM-N09, AM-N10, AM-N11, AM-N12, AM-N13, AM-N15, AM-N16, C03, C05, C06, H09, H11, H12, H14, H15, PR-E01, PR-E03, PR-E04, PR-E06, PR-E07, PR-E08, PR-L01, PR-L02, PR-L05, PR-N01, PR-N02, PR-N03, PR-N04, S01, S02, S03, S04, S05, S07, Y02, Y05, Y12, Y13</x:v>
      </x:c>
    </x:row>
    <x:row r="81" ht="40" customHeight="1">
      <x:c r="A81" s="44" t="str">
        <x:v>DPG</x:v>
      </x:c>
      <x:c r="B81" s="44" t="str">
        <x:v>neat</x:v>
      </x:c>
      <x:c r="C81" s="46" t="n">
        <x:v>0</x:v>
      </x:c>
      <x:c r="D81" s="44" t="str">
        <x:v>Technical</x:v>
      </x:c>
      <x:c r="E81" s="44" t="str">
        <x:v>DIRECT</x:v>
      </x:c>
      <x:c r="F81" s="44" t="n">
        <x:v>3</x:v>
      </x:c>
      <x:c r="G81" s="44" t="n">
        <x:v>3</x:v>
      </x:c>
      <x:c r="H81" s="44" t="str">
        <x:v>CHANEL, YSL</x:v>
      </x:c>
      <x:c r="I81" s="48" t="n">
        <x:v>3.847</x:v>
      </x:c>
      <x:c r="J81" s="48" t="n">
        <x:v>4.007</x:v>
      </x:c>
      <x:c r="K81" s="48" t="n">
        <x:v>4.142666666666667</x:v>
      </x:c>
      <x:c r="L81" s="48" t="n">
        <x:v>4.574</x:v>
      </x:c>
      <x:c r="M81" s="46" t="n">
        <x:v>0.0038469999999999997</x:v>
      </x:c>
      <x:c r="N81" s="46" t="n">
        <x:v>0.004006999999999999</x:v>
      </x:c>
      <x:c r="O81" s="46" t="n">
        <x:v>0.004574</x:v>
      </x:c>
      <x:c r="P81" s="46" t="n">
        <x:v>0.0006860999999999999</x:v>
      </x:c>
      <x:c r="Q81" s="46" t="n">
        <x:v>0.0010017499999999998</x:v>
      </x:c>
      <x:c r="R81" s="46" t="n">
        <x:v>0.0011541</x:v>
      </x:c>
      <x:c r="S81" s="46" t="n">
        <x:v>0</x:v>
      </x:c>
      <x:c r="T81" s="46" t="n">
        <x:v>0</x:v>
      </x:c>
      <x:c r="U81" s="46" t="n">
        <x:v>0</x:v>
      </x:c>
      <x:c r="V81" s="44" t="n">
        <x:v>0</x:v>
      </x:c>
      <x:c r="W81" s="44" t="n">
        <x:v>0</x:v>
      </x:c>
      <x:c r="X81" s="44" t="str">
        <x:v>C07, C08, Y08</x:v>
      </x:c>
    </x:row>
    <x:row r="82" ht="40" customHeight="1">
      <x:c r="A82" s="44" t="str">
        <x:v>Ebanol</x:v>
      </x:c>
      <x:c r="B82" s="44" t="str">
        <x:v>neat</x:v>
      </x:c>
      <x:c r="C82" s="46" t="n">
        <x:v>1</x:v>
      </x:c>
      <x:c r="D82" s="44" t="str">
        <x:v>Woods / amber</x:v>
      </x:c>
      <x:c r="E82" s="44" t="str">
        <x:v>DIRECT</x:v>
      </x:c>
      <x:c r="F82" s="44" t="n">
        <x:v>58</x:v>
      </x:c>
      <x:c r="G82" s="44" t="n">
        <x:v>58</x:v>
      </x:c>
      <x:c r="H82" s="44" t="str">
        <x:v>Amouage, CHANEL, Dior, Prada, YSL</x:v>
      </x:c>
      <x:c r="I82" s="48" t="n">
        <x:v>0.552</x:v>
      </x:c>
      <x:c r="J82" s="48" t="n">
        <x:v>4.1495</x:v>
      </x:c>
      <x:c r="K82" s="48" t="n">
        <x:v>9.130775862068965</x:v>
      </x:c>
      <x:c r="L82" s="48" t="n">
        <x:v>60.674</x:v>
      </x:c>
      <x:c r="M82" s="46" t="n">
        <x:v>0.0005520000000000001</x:v>
      </x:c>
      <x:c r="N82" s="46" t="n">
        <x:v>0.0041494999999999995</x:v>
      </x:c>
      <x:c r="O82" s="46" t="n">
        <x:v>0.060674</x:v>
      </x:c>
      <x:c r="P82" s="46" t="n">
        <x:v>0.00013800000000000002</x:v>
      </x:c>
      <x:c r="Q82" s="46" t="n">
        <x:v>0.0011154999999999997</x:v>
      </x:c>
      <x:c r="R82" s="46" t="n">
        <x:v>0.012928299999999998</x:v>
      </x:c>
      <x:c r="S82" s="46" t="n">
        <x:v>0.00013800000000000002</x:v>
      </x:c>
      <x:c r="T82" s="46" t="n">
        <x:v>0.0011154999999999997</x:v>
      </x:c>
      <x:c r="U82" s="46" t="n">
        <x:v>0.012928299999999998</x:v>
      </x:c>
      <x:c r="V82" s="44" t="n">
        <x:v>0</x:v>
      </x:c>
      <x:c r="W82" s="44" t="n">
        <x:v>0</x:v>
      </x:c>
      <x:c r="X82" s="44" t="str">
        <x:v>AM-E01, AM-E02, AM-E03, AM-E04, AM-E05, AM-E06, AM-E07, AM-E08, AM-E09, AM-E10, AM-E11, AM-E12, AM-E13, AM-E14, AM-E15, AM-E16, AM-L01, AM-L02, AM-L03, AM-L04, AM-L05, AM-L06, AM-L07, AM-L08, AM-L09, AM-N01, AM-N02, AM-N03, AM-N04, AM-N05, AM-N06, AM-N07, AM-N08, AM-N09, AM-N10, AM-N11, AM-N12, AM-N13, AM-N14, AM-N15, AM-N16, C01, C05, C07, C08, H06, H13, PR-E02, PR-L04, PR-L05, PR-N04, PR-N05, PR-N12, PR-N14, S05, S06, Y01, Y08</x:v>
      </x:c>
    </x:row>
    <x:row r="83" ht="40" customHeight="1">
      <x:c r="A83" s="44" t="str">
        <x:v>Elemi EO</x:v>
      </x:c>
      <x:c r="B83" s="44" t="str">
        <x:v>target-required authentic material</x:v>
      </x:c>
      <x:c r="C83" s="46" t="n">
        <x:v>1</x:v>
      </x:c>
      <x:c r="D83" s="44" t="str">
        <x:v>Resin / incense</x:v>
      </x:c>
      <x:c r="E83" s="44" t="str">
        <x:v>TARGET REQUIRED / INVENTORY GAP</x:v>
      </x:c>
      <x:c r="F83" s="44" t="n">
        <x:v>5</x:v>
      </x:c>
      <x:c r="G83" s="44" t="n">
        <x:v>5</x:v>
      </x:c>
      <x:c r="H83" s="44" t="str">
        <x:v>Amouage, Dior</x:v>
      </x:c>
      <x:c r="I83" s="48" t="n">
        <x:v>1.829</x:v>
      </x:c>
      <x:c r="J83" s="48" t="n">
        <x:v>3.183</x:v>
      </x:c>
      <x:c r="K83" s="48" t="n">
        <x:v>8.0384</x:v>
      </x:c>
      <x:c r="L83" s="48" t="n">
        <x:v>21.431</x:v>
      </x:c>
      <x:c r="M83" s="46" t="n">
        <x:v>0.0018290000000000001</x:v>
      </x:c>
      <x:c r="N83" s="46" t="n">
        <x:v>0.0031829999999999996</x:v>
      </x:c>
      <x:c r="O83" s="46" t="n">
        <x:v>0.021431</x:v>
      </x:c>
      <x:c r="P83" s="46" t="n">
        <x:v>0.0003759</x:v>
      </x:c>
      <x:c r="Q83" s="46" t="n">
        <x:v>0.0005487</x:v>
      </x:c>
      <x:c r="R83" s="46" t="n">
        <x:v>0.00321465</x:v>
      </x:c>
      <x:c r="S83" s="46" t="n">
        <x:v>0.0003759</x:v>
      </x:c>
      <x:c r="T83" s="46" t="n">
        <x:v>0.0005487</x:v>
      </x:c>
      <x:c r="U83" s="46" t="n">
        <x:v>0.00321465</x:v>
      </x:c>
      <x:c r="V83" s="44" t="n">
        <x:v>5</x:v>
      </x:c>
      <x:c r="W83" s="44" t="n">
        <x:v>0</x:v>
      </x:c>
      <x:c r="X83" s="44" t="str">
        <x:v>AM-N15, H11, H14, S02, S03</x:v>
      </x:c>
    </x:row>
    <x:row r="84" ht="40" customHeight="1">
      <x:c r="A84" s="44" t="str">
        <x:v>Ethyl 2-Methylbutyrate 0.1%</x:v>
      </x:c>
      <x:c r="B84" s="44" t="str">
        <x:v>0.1% in DPG</x:v>
      </x:c>
      <x:c r="C84" s="46" t="n">
        <x:v>0.001</x:v>
      </x:c>
      <x:c r="D84" s="44" t="str">
        <x:v>Green / fruit</x:v>
      </x:c>
      <x:c r="E84" s="44" t="str">
        <x:v>TRACE PREMIX</x:v>
      </x:c>
      <x:c r="F84" s="44" t="n">
        <x:v>5</x:v>
      </x:c>
      <x:c r="G84" s="44" t="n">
        <x:v>5</x:v>
      </x:c>
      <x:c r="H84" s="44" t="str">
        <x:v>Amouage</x:v>
      </x:c>
      <x:c r="I84" s="48" t="n">
        <x:v>1.586</x:v>
      </x:c>
      <x:c r="J84" s="48" t="n">
        <x:v>5.274</x:v>
      </x:c>
      <x:c r="K84" s="48" t="n">
        <x:v>4.9394</x:v>
      </x:c>
      <x:c r="L84" s="48" t="n">
        <x:v>8</x:v>
      </x:c>
      <x:c r="M84" s="46" t="n">
        <x:v>0.0015860000000000002</x:v>
      </x:c>
      <x:c r="N84" s="46" t="n">
        <x:v>0.005274</x:v>
      </x:c>
      <x:c r="O84" s="46" t="n">
        <x:v>0.008</x:v>
      </x:c>
      <x:c r="P84" s="46" t="n">
        <x:v>0.00031720000000000007</x:v>
      </x:c>
      <x:c r="Q84" s="46" t="n">
        <x:v>0.0010547999999999998</x:v>
      </x:c>
      <x:c r="R84" s="46" t="n">
        <x:v>0.0032</x:v>
      </x:c>
      <x:c r="S84" s="46" t="n">
        <x:v>3.1720000000000006e-7</x:v>
      </x:c>
      <x:c r="T84" s="46" t="n">
        <x:v>0.0000010547999999999998</x:v>
      </x:c>
      <x:c r="U84" s="46" t="n">
        <x:v>0.0000032000000000000003</x:v>
      </x:c>
      <x:c r="V84" s="44" t="n">
        <x:v>0</x:v>
      </x:c>
      <x:c r="W84" s="44" t="n">
        <x:v>0</x:v>
      </x:c>
      <x:c r="X84" s="44" t="str">
        <x:v>AM-E06, AM-L02, AM-N03, AM-N06, AM-N10</x:v>
      </x:c>
    </x:row>
    <x:row r="85" ht="40" customHeight="1">
      <x:c r="A85" s="44" t="str">
        <x:v>Ethyl Vanillin 10%</x:v>
      </x:c>
      <x:c r="B85" s="44" t="str">
        <x:v>10% in DPG</x:v>
      </x:c>
      <x:c r="C85" s="46" t="n">
        <x:v>0.1</x:v>
      </x:c>
      <x:c r="D85" s="44" t="str">
        <x:v>Sweet / balsamic</x:v>
      </x:c>
      <x:c r="E85" s="44" t="str">
        <x:v>PREPARED STOCK</x:v>
      </x:c>
      <x:c r="F85" s="44" t="n">
        <x:v>37</x:v>
      </x:c>
      <x:c r="G85" s="44" t="n">
        <x:v>37</x:v>
      </x:c>
      <x:c r="H85" s="44" t="str">
        <x:v>Amouage, CHANEL, Prada</x:v>
      </x:c>
      <x:c r="I85" s="48" t="n">
        <x:v>0.346</x:v>
      </x:c>
      <x:c r="J85" s="48" t="n">
        <x:v>4.599</x:v>
      </x:c>
      <x:c r="K85" s="48" t="n">
        <x:v>9.353675675675676</x:v>
      </x:c>
      <x:c r="L85" s="48" t="n">
        <x:v>56.777</x:v>
      </x:c>
      <x:c r="M85" s="46" t="n">
        <x:v>0.000346</x:v>
      </x:c>
      <x:c r="N85" s="46" t="n">
        <x:v>0.004599000000000001</x:v>
      </x:c>
      <x:c r="O85" s="46" t="n">
        <x:v>0.056776999999999994</x:v>
      </x:c>
      <x:c r="P85" s="46" t="n">
        <x:v>0.0000865</x:v>
      </x:c>
      <x:c r="Q85" s="46" t="n">
        <x:v>0.00132125</x:v>
      </x:c>
      <x:c r="R85" s="46" t="n">
        <x:v>0.01021986</x:v>
      </x:c>
      <x:c r="S85" s="46" t="n">
        <x:v>0.00000865</x:v>
      </x:c>
      <x:c r="T85" s="46" t="n">
        <x:v>0.000132125</x:v>
      </x:c>
      <x:c r="U85" s="46" t="n">
        <x:v>0.0010219860000000001</x:v>
      </x:c>
      <x:c r="V85" s="44" t="n">
        <x:v>0</x:v>
      </x:c>
      <x:c r="W85" s="44" t="n">
        <x:v>0</x:v>
      </x:c>
      <x:c r="X85" s="44" t="str">
        <x:v>AM-E02, AM-E03, AM-E04, AM-E05, AM-E06, AM-E07, AM-E10, AM-E11, AM-E12, AM-E13, AM-E14, AM-E15, AM-L02, AM-L03, AM-L04, AM-L05, AM-L06, AM-L09, AM-N01, AM-N02, AM-N04, AM-N05, AM-N06, AM-N08, AM-N09, AM-N10, AM-N11, AM-N12, AM-N14, AM-N15, AM-N16, C08, PR-E02, PR-E04, PR-E06, PR-N06, PR-N13</x:v>
      </x:c>
    </x:row>
    <x:row r="86" ht="40" customHeight="1">
      <x:c r="A86" s="44" t="str">
        <x:v>Eugenol 10%</x:v>
      </x:c>
      <x:c r="B86" s="44" t="str">
        <x:v>10% in DPG</x:v>
      </x:c>
      <x:c r="C86" s="46" t="n">
        <x:v>0.1</x:v>
      </x:c>
      <x:c r="D86" s="44" t="str">
        <x:v>Spice</x:v>
      </x:c>
      <x:c r="E86" s="44" t="str">
        <x:v>PREPARED STOCK</x:v>
      </x:c>
      <x:c r="F86" s="44" t="n">
        <x:v>22</x:v>
      </x:c>
      <x:c r="G86" s="44" t="n">
        <x:v>22</x:v>
      </x:c>
      <x:c r="H86" s="44" t="str">
        <x:v>Amouage, YSL</x:v>
      </x:c>
      <x:c r="I86" s="48" t="n">
        <x:v>0.366</x:v>
      </x:c>
      <x:c r="J86" s="48" t="n">
        <x:v>4.496499999999999</x:v>
      </x:c>
      <x:c r="K86" s="48" t="n">
        <x:v>5.310727272727273</x:v>
      </x:c>
      <x:c r="L86" s="48" t="n">
        <x:v>35.04</x:v>
      </x:c>
      <x:c r="M86" s="46" t="n">
        <x:v>0.000366</x:v>
      </x:c>
      <x:c r="N86" s="46" t="n">
        <x:v>0.0044965</x:v>
      </x:c>
      <x:c r="O86" s="46" t="n">
        <x:v>0.03504</x:v>
      </x:c>
      <x:c r="P86" s="46" t="n">
        <x:v>0.0000732</x:v>
      </x:c>
      <x:c r="Q86" s="46" t="n">
        <x:v>0.0011353099999999998</x:v>
      </x:c>
      <x:c r="R86" s="46" t="n">
        <x:v>0.00876</x:v>
      </x:c>
      <x:c r="S86" s="46" t="n">
        <x:v>0.00000732</x:v>
      </x:c>
      <x:c r="T86" s="46" t="n">
        <x:v>0.00011353100000000001</x:v>
      </x:c>
      <x:c r="U86" s="46" t="n">
        <x:v>0.0008760000000000002</x:v>
      </x:c>
      <x:c r="V86" s="44" t="n">
        <x:v>0</x:v>
      </x:c>
      <x:c r="W86" s="44" t="n">
        <x:v>0</x:v>
      </x:c>
      <x:c r="X86" s="44" t="str">
        <x:v>AM-E02, AM-E03, AM-E04, AM-E06, AM-E07, AM-E11, AM-E12, AM-E13, AM-E15, AM-L01, AM-L06, AM-L08, AM-N03, AM-N05, AM-N07, AM-N08, AM-N10, AM-N13, AM-N14, AM-N15, AM-N16, Y08</x:v>
      </x:c>
    </x:row>
    <x:row r="87" ht="40" customHeight="1">
      <x:c r="A87" s="44" t="str">
        <x:v>Evernyl 20%</x:v>
      </x:c>
      <x:c r="B87" s="44" t="str">
        <x:v>20% in DPG; verify clarity</x:v>
      </x:c>
      <x:c r="C87" s="46" t="n">
        <x:v>0.2</x:v>
      </x:c>
      <x:c r="D87" s="44" t="str">
        <x:v>Resin / incense</x:v>
      </x:c>
      <x:c r="E87" s="44" t="str">
        <x:v>VERIFY LABEL</x:v>
      </x:c>
      <x:c r="F87" s="44" t="n">
        <x:v>45</x:v>
      </x:c>
      <x:c r="G87" s="44" t="n">
        <x:v>45</x:v>
      </x:c>
      <x:c r="H87" s="44" t="str">
        <x:v>Amouage, CHANEL, Prada, YSL</x:v>
      </x:c>
      <x:c r="I87" s="48" t="n">
        <x:v>2.138</x:v>
      </x:c>
      <x:c r="J87" s="48" t="n">
        <x:v>15.483</x:v>
      </x:c>
      <x:c r="K87" s="48" t="n">
        <x:v>31.451955555555557</x:v>
      </x:c>
      <x:c r="L87" s="48" t="n">
        <x:v>180</x:v>
      </x:c>
      <x:c r="M87" s="46" t="n">
        <x:v>0.0021379999999999997</x:v>
      </x:c>
      <x:c r="N87" s="46" t="n">
        <x:v>0.015483</x:v>
      </x:c>
      <x:c r="O87" s="46" t="n">
        <x:v>0.18</x:v>
      </x:c>
      <x:c r="P87" s="46" t="n">
        <x:v>0.0003207</x:v>
      </x:c>
      <x:c r="Q87" s="46" t="n">
        <x:v>0.0042125</x:v>
      </x:c>
      <x:c r="R87" s="46" t="n">
        <x:v>0.054000000000000006</x:v>
      </x:c>
      <x:c r="S87" s="46" t="n">
        <x:v>0.00006414</x:v>
      </x:c>
      <x:c r="T87" s="46" t="n">
        <x:v>0.0008425</x:v>
      </x:c>
      <x:c r="U87" s="46" t="n">
        <x:v>0.0108</x:v>
      </x:c>
      <x:c r="V87" s="44" t="n">
        <x:v>0</x:v>
      </x:c>
      <x:c r="W87" s="44" t="n">
        <x:v>45</x:v>
      </x:c>
      <x:c r="X87" s="44" t="str">
        <x:v>AM-E01, AM-E02, AM-E03, AM-E04, AM-E05, AM-E06, AM-E07, AM-E08, AM-E09, AM-E10, AM-E11, AM-E12, AM-E13, AM-E14, AM-E15, AM-E16, AM-L01, AM-L02, AM-L03, AM-L04, AM-L05, AM-L06, AM-L07, AM-L08, AM-L09, AM-N01, AM-N02, AM-N03, AM-N04, AM-N05, AM-N06, AM-N07, AM-N08, AM-N09, AM-N10, AM-N11, AM-N12, AM-N13, AM-N14, AM-N15, AM-N16, C07, C08, PR-E07, Y08</x:v>
      </x:c>
    </x:row>
    <x:row r="88" ht="40" customHeight="1">
      <x:c r="A88" s="44" t="str">
        <x:v>Exaltolide 10%</x:v>
      </x:c>
      <x:c r="B88" s="44" t="str">
        <x:v>10% working stock</x:v>
      </x:c>
      <x:c r="C88" s="46" t="n">
        <x:v>0.1</x:v>
      </x:c>
      <x:c r="D88" s="44" t="str">
        <x:v>musk</x:v>
      </x:c>
      <x:c r="E88" s="44" t="str">
        <x:v>PREPARED STOCK</x:v>
      </x:c>
      <x:c r="F88" s="44" t="n">
        <x:v>103</x:v>
      </x:c>
      <x:c r="G88" s="44" t="n">
        <x:v>103</x:v>
      </x:c>
      <x:c r="H88" s="44" t="str">
        <x:v>Amouage, CHANEL, Dior, Kenny Originals, Prada, YSL</x:v>
      </x:c>
      <x:c r="I88" s="48" t="n">
        <x:v>0.247</x:v>
      </x:c>
      <x:c r="J88" s="48" t="n">
        <x:v>2.625</x:v>
      </x:c>
      <x:c r="K88" s="48" t="n">
        <x:v>6.015058252427185</x:v>
      </x:c>
      <x:c r="L88" s="48" t="n">
        <x:v>39.461</x:v>
      </x:c>
      <x:c r="M88" s="46" t="n">
        <x:v>0.000247</x:v>
      </x:c>
      <x:c r="N88" s="46" t="n">
        <x:v>0.002625</x:v>
      </x:c>
      <x:c r="O88" s="46" t="n">
        <x:v>0.039460999999999996</x:v>
      </x:c>
      <x:c r="P88" s="46" t="n">
        <x:v>0.00007163</x:v>
      </x:c>
      <x:c r="Q88" s="46" t="n">
        <x:v>0.0005688</x:v>
      </x:c>
      <x:c r="R88" s="46" t="n">
        <x:v>0.00710298</x:v>
      </x:c>
      <x:c r="S88" s="46" t="n">
        <x:v>0.000007163</x:v>
      </x:c>
      <x:c r="T88" s="46" t="n">
        <x:v>0.000056880000000000004</x:v>
      </x:c>
      <x:c r="U88" s="46" t="n">
        <x:v>0.000710298</x:v>
      </x:c>
      <x:c r="V88" s="44" t="n">
        <x:v>0</x:v>
      </x:c>
      <x:c r="W88" s="44" t="n">
        <x:v>0</x:v>
      </x:c>
      <x:c r="X88"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PR-E04, PR-L03, PR-L05, PR-N01, PR-N04, PR-N08, PR-N10, PR-N11, PR-N13, S01, S02, S03, S04, S05, S06, S07, S08, Y01, Y02, Y03, Y04, Y05, Y06, Y07, Y08, Y09, Y10, Y11, Y12, Y13, Y14</x:v>
      </x:c>
    </x:row>
    <x:row r="89" ht="40" customHeight="1">
      <x:c r="A89" s="44" t="str">
        <x:v>Farnesol</x:v>
      </x:c>
      <x:c r="B89" s="44" t="str">
        <x:v>neat / as supplied</x:v>
      </x:c>
      <x:c r="C89" s="46" t="n">
        <x:v>1</x:v>
      </x:c>
      <x:c r="D89" s="44" t="str">
        <x:v>air_floral</x:v>
      </x:c>
      <x:c r="E89" s="44" t="str">
        <x:v>TRACE PREMIX</x:v>
      </x:c>
      <x:c r="F89" s="44" t="n">
        <x:v>34</x:v>
      </x:c>
      <x:c r="G89" s="44" t="n">
        <x:v>34</x:v>
      </x:c>
      <x:c r="H89" s="44" t="str">
        <x:v>CHANEL, Dior, Kenny Originals, YSL</x:v>
      </x:c>
      <x:c r="I89" s="48" t="n">
        <x:v>0.084</x:v>
      </x:c>
      <x:c r="J89" s="48" t="n">
        <x:v>0.383</x:v>
      </x:c>
      <x:c r="K89" s="48" t="n">
        <x:v>1.0613235294117647</x:v>
      </x:c>
      <x:c r="L89" s="48" t="n">
        <x:v>4.525</x:v>
      </x:c>
      <x:c r="M89" s="46" t="n">
        <x:v>0.00008400000000000001</x:v>
      </x:c>
      <x:c r="N89" s="46" t="n">
        <x:v>0.000383</x:v>
      </x:c>
      <x:c r="O89" s="46" t="n">
        <x:v>0.004525</x:v>
      </x:c>
      <x:c r="P89" s="46" t="n">
        <x:v>0.000010300000000000001</x:v>
      </x:c>
      <x:c r="Q89" s="46" t="n">
        <x:v>0.00007510999999999999</x:v>
      </x:c>
      <x:c r="R89" s="46" t="n">
        <x:v>0.0009955</x:v>
      </x:c>
      <x:c r="S89" s="46" t="n">
        <x:v>0.000010300000000000001</x:v>
      </x:c>
      <x:c r="T89" s="46" t="n">
        <x:v>0.00007510999999999999</x:v>
      </x:c>
      <x:c r="U89" s="46" t="n">
        <x:v>0.0009955</x:v>
      </x:c>
      <x:c r="V89" s="44" t="n">
        <x:v>0</x:v>
      </x:c>
      <x:c r="W89" s="44" t="n">
        <x:v>0</x:v>
      </x:c>
      <x:c r="X89" s="44" t="str">
        <x:v>C01, C02, C03, C04, C06, H01, H02, H03, H04, H05, H06, H07, H10, H11, H12, O01, O02, O03, O04, O05, O06, S07, Y02, Y03, Y04, Y05, Y06, Y07, Y09, Y10, Y11, Y12, Y13, Y14</x:v>
      </x:c>
    </x:row>
    <x:row r="90" ht="40" customHeight="1">
      <x:c r="A90" s="44" t="str">
        <x:v>Fenugreek Accord 10%</x:v>
      </x:c>
      <x:c r="B90" s="44" t="str">
        <x:v>10% target-required accord</x:v>
      </x:c>
      <x:c r="C90" s="46" t="n">
        <x:v>0.1</x:v>
      </x:c>
      <x:c r="D90" s="44" t="str">
        <x:v>Spice</x:v>
      </x:c>
      <x:c r="E90" s="44" t="str">
        <x:v>TARGET REQUIRED / INVENTORY GAP</x:v>
      </x:c>
      <x:c r="F90" s="44" t="n">
        <x:v>1</x:v>
      </x:c>
      <x:c r="G90" s="44" t="n">
        <x:v>1</x:v>
      </x:c>
      <x:c r="H90" s="44" t="str">
        <x:v>Amouage</x:v>
      </x:c>
      <x:c r="I90" s="48" t="n">
        <x:v>46.898</x:v>
      </x:c>
      <x:c r="J90" s="48" t="n">
        <x:v>46.898</x:v>
      </x:c>
      <x:c r="K90" s="48" t="n">
        <x:v>46.898</x:v>
      </x:c>
      <x:c r="L90" s="48" t="n">
        <x:v>46.898</x:v>
      </x:c>
      <x:c r="M90" s="46" t="n">
        <x:v>0.046898</x:v>
      </x:c>
      <x:c r="N90" s="46" t="n">
        <x:v>0.046898</x:v>
      </x:c>
      <x:c r="O90" s="46" t="n">
        <x:v>0.046898</x:v>
      </x:c>
      <x:c r="P90" s="46" t="n">
        <x:v>0.011255520000000001</x:v>
      </x:c>
      <x:c r="Q90" s="46" t="n">
        <x:v>0.011255520000000001</x:v>
      </x:c>
      <x:c r="R90" s="46" t="n">
        <x:v>0.011255520000000001</x:v>
      </x:c>
      <x:c r="S90" s="46" t="n">
        <x:v>0.0011255520000000001</x:v>
      </x:c>
      <x:c r="T90" s="46" t="n">
        <x:v>0.0011255520000000001</x:v>
      </x:c>
      <x:c r="U90" s="46" t="n">
        <x:v>0.0011255520000000001</x:v>
      </x:c>
      <x:c r="V90" s="44" t="n">
        <x:v>1</x:v>
      </x:c>
      <x:c r="W90" s="44" t="n">
        <x:v>0</x:v>
      </x:c>
      <x:c r="X90" s="44" t="str">
        <x:v>AM-N07</x:v>
      </x:c>
    </x:row>
    <x:row r="91" ht="40" customHeight="1">
      <x:c r="A91" s="44" t="str">
        <x:v>Fir Balsam Absolute 10%</x:v>
      </x:c>
      <x:c r="B91" s="44" t="str">
        <x:v>10% target-required working dilution</x:v>
      </x:c>
      <x:c r="C91" s="46" t="n">
        <x:v>0.1</x:v>
      </x:c>
      <x:c r="D91" s="44" t="str">
        <x:v>Resin / incense</x:v>
      </x:c>
      <x:c r="E91" s="44" t="str">
        <x:v>TARGET REQUIRED / INVENTORY GAP</x:v>
      </x:c>
      <x:c r="F91" s="44" t="n">
        <x:v>1</x:v>
      </x:c>
      <x:c r="G91" s="44" t="n">
        <x:v>1</x:v>
      </x:c>
      <x:c r="H91" s="44" t="str">
        <x:v>Amouage</x:v>
      </x:c>
      <x:c r="I91" s="48" t="n">
        <x:v>71.475</x:v>
      </x:c>
      <x:c r="J91" s="48" t="n">
        <x:v>71.475</x:v>
      </x:c>
      <x:c r="K91" s="48" t="n">
        <x:v>71.475</x:v>
      </x:c>
      <x:c r="L91" s="48" t="n">
        <x:v>71.475</x:v>
      </x:c>
      <x:c r="M91" s="46" t="n">
        <x:v>0.071475</x:v>
      </x:c>
      <x:c r="N91" s="46" t="n">
        <x:v>0.071475</x:v>
      </x:c>
      <x:c r="O91" s="46" t="n">
        <x:v>0.071475</x:v>
      </x:c>
      <x:c r="P91" s="46" t="n">
        <x:v>0.01786875</x:v>
      </x:c>
      <x:c r="Q91" s="46" t="n">
        <x:v>0.01786875</x:v>
      </x:c>
      <x:c r="R91" s="46" t="n">
        <x:v>0.01786875</x:v>
      </x:c>
      <x:c r="S91" s="46" t="n">
        <x:v>0.001786875</x:v>
      </x:c>
      <x:c r="T91" s="46" t="n">
        <x:v>0.001786875</x:v>
      </x:c>
      <x:c r="U91" s="46" t="n">
        <x:v>0.001786875</x:v>
      </x:c>
      <x:c r="V91" s="44" t="n">
        <x:v>1</x:v>
      </x:c>
      <x:c r="W91" s="44" t="n">
        <x:v>0</x:v>
      </x:c>
      <x:c r="X91" s="44" t="str">
        <x:v>AM-N10</x:v>
      </x:c>
    </x:row>
    <x:row r="92" ht="40" customHeight="1">
      <x:c r="A92" s="44" t="str">
        <x:v>Floralozone 10%</x:v>
      </x:c>
      <x:c r="B92" s="44" t="str">
        <x:v>10% working stock</x:v>
      </x:c>
      <x:c r="C92" s="46" t="n">
        <x:v>0.1</x:v>
      </x:c>
      <x:c r="D92" s="44" t="str">
        <x:v>marine_green</x:v>
      </x:c>
      <x:c r="E92" s="44" t="str">
        <x:v>PREPARED STOCK</x:v>
      </x:c>
      <x:c r="F92" s="44" t="n">
        <x:v>10</x:v>
      </x:c>
      <x:c r="G92" s="44" t="n">
        <x:v>10</x:v>
      </x:c>
      <x:c r="H92" s="44" t="str">
        <x:v>Amouage, CHANEL, Dior, Prada, YSL</x:v>
      </x:c>
      <x:c r="I92" s="48" t="n">
        <x:v>1.473</x:v>
      </x:c>
      <x:c r="J92" s="48" t="n">
        <x:v>14.043</x:v>
      </x:c>
      <x:c r="K92" s="48" t="n">
        <x:v>11.809</x:v>
      </x:c>
      <x:c r="L92" s="48" t="n">
        <x:v>20</x:v>
      </x:c>
      <x:c r="M92" s="46" t="n">
        <x:v>0.0014730000000000001</x:v>
      </x:c>
      <x:c r="N92" s="46" t="n">
        <x:v>0.014043000000000002</x:v>
      </x:c>
      <x:c r="O92" s="46" t="n">
        <x:v>0.02</x:v>
      </x:c>
      <x:c r="P92" s="46" t="n">
        <x:v>0.00026924999999999996</x:v>
      </x:c>
      <x:c r="Q92" s="46" t="n">
        <x:v>0.0016064500000000002</x:v>
      </x:c>
      <x:c r="R92" s="46" t="n">
        <x:v>0.0044</x:v>
      </x:c>
      <x:c r="S92" s="46" t="n">
        <x:v>0.000026925</x:v>
      </x:c>
      <x:c r="T92" s="46" t="n">
        <x:v>0.00016064500000000003</x:v>
      </x:c>
      <x:c r="U92" s="46" t="n">
        <x:v>0.0004400000000000001</x:v>
      </x:c>
      <x:c r="V92" s="44" t="n">
        <x:v>0</x:v>
      </x:c>
      <x:c r="W92" s="44" t="n">
        <x:v>0</x:v>
      </x:c>
      <x:c r="X92" s="44" t="str">
        <x:v>AM-N06, C03, C04, PR-E01, PR-E06, PR-L02, PR-N03, PR-N08, S07, Y05</x:v>
      </x:c>
    </x:row>
    <x:row r="93" ht="40" customHeight="1">
      <x:c r="A93" s="44" t="str">
        <x:v>Florol</x:v>
      </x:c>
      <x:c r="B93" s="44" t="str">
        <x:v>neat / as supplied</x:v>
      </x:c>
      <x:c r="C93" s="46" t="n">
        <x:v>1</x:v>
      </x:c>
      <x:c r="D93" s="44" t="str">
        <x:v>air_floral</x:v>
      </x:c>
      <x:c r="E93" s="44" t="str">
        <x:v>DIRECT</x:v>
      </x:c>
      <x:c r="F93" s="44" t="n">
        <x:v>80</x:v>
      </x:c>
      <x:c r="G93" s="44" t="n">
        <x:v>80</x:v>
      </x:c>
      <x:c r="H93" s="44" t="str">
        <x:v>Amouage, CHANEL, Dior, Kenny Originals, Prada, YSL</x:v>
      </x:c>
      <x:c r="I93" s="48" t="n">
        <x:v>0.15</x:v>
      </x:c>
      <x:c r="J93" s="48" t="n">
        <x:v>4.08</x:v>
      </x:c>
      <x:c r="K93" s="48" t="n">
        <x:v>5.8958375</x:v>
      </x:c>
      <x:c r="L93" s="48" t="n">
        <x:v>31.418</x:v>
      </x:c>
      <x:c r="M93" s="46" t="n">
        <x:v>0.00015</x:v>
      </x:c>
      <x:c r="N93" s="46" t="n">
        <x:v>0.004079999999999999</x:v>
      </x:c>
      <x:c r="O93" s="46" t="n">
        <x:v>0.031418</x:v>
      </x:c>
      <x:c r="P93" s="46" t="n">
        <x:v>0.0000375</x:v>
      </x:c>
      <x:c r="Q93" s="46" t="n">
        <x:v>0.0008909899999999999</x:v>
      </x:c>
      <x:c r="R93" s="46" t="n">
        <x:v>0.004712699999999999</x:v>
      </x:c>
      <x:c r="S93" s="46" t="n">
        <x:v>0.0000375</x:v>
      </x:c>
      <x:c r="T93" s="46" t="n">
        <x:v>0.0008909899999999999</x:v>
      </x:c>
      <x:c r="U93" s="46" t="n">
        <x:v>0.004712699999999999</x:v>
      </x:c>
      <x:c r="V93" s="44" t="n">
        <x:v>0</x:v>
      </x:c>
      <x:c r="W93" s="44" t="n">
        <x:v>0</x:v>
      </x:c>
      <x:c r="X93" s="44" t="str">
        <x:v>AM-E01, AM-E02, AM-E03, AM-E04, AM-E05, AM-E06, AM-E07, AM-E08, AM-E09, AM-E10, AM-E11, AM-E12, AM-E13, AM-E14, AM-E15, AM-L01, AM-L02, AM-L03, AM-L04, AM-L05, AM-L06, AM-L07, AM-L08, AM-L09, AM-N01, AM-N02, AM-N03, AM-N04, AM-N05, AM-N06, AM-N07, AM-N08, AM-N09, AM-N11, AM-N12, AM-N13, AM-N14, AM-N15, AM-N16, C02, C03, C04, C05, C06, C08, H01, H02, H03, H04, H05, H06, H07, H09, H10, H11, H12, O01, O02, O03, O05, O06, PR-E01, PR-E02, PR-E03, PR-E04, PR-E06, PR-E07, PR-E08, PR-L03, PR-L05, PR-N01, PR-N02, PR-N03, PR-N04, S07, Y01, Y03, Y04, Y05, Y06</x:v>
      </x:c>
    </x:row>
    <x:row r="94" ht="40" customHeight="1">
      <x:c r="A94" s="44" t="str">
        <x:v>Fresh Ginger Oil</x:v>
      </x:c>
      <x:c r="B94" s="44" t="str">
        <x:v>neat; verify current stock</x:v>
      </x:c>
      <x:c r="C94" s="46" t="n">
        <x:v>1</x:v>
      </x:c>
      <x:c r="D94" s="44" t="str">
        <x:v>Spice</x:v>
      </x:c>
      <x:c r="E94" s="44" t="str">
        <x:v>VERIFY LABEL</x:v>
      </x:c>
      <x:c r="F94" s="44" t="n">
        <x:v>6</x:v>
      </x:c>
      <x:c r="G94" s="44" t="n">
        <x:v>6</x:v>
      </x:c>
      <x:c r="H94" s="44" t="str">
        <x:v>Prada, YSL</x:v>
      </x:c>
      <x:c r="I94" s="48" t="n">
        <x:v>35.04</x:v>
      </x:c>
      <x:c r="J94" s="48" t="n">
        <x:v>53.2415</x:v>
      </x:c>
      <x:c r="K94" s="48" t="n">
        <x:v>55.452333333333335</x:v>
      </x:c>
      <x:c r="L94" s="48" t="n">
        <x:v>85</x:v>
      </x:c>
      <x:c r="M94" s="46" t="n">
        <x:v>0.03504</x:v>
      </x:c>
      <x:c r="N94" s="46" t="n">
        <x:v>0.0532415</x:v>
      </x:c>
      <x:c r="O94" s="46" t="n">
        <x:v>0.085</x:v>
      </x:c>
      <x:c r="P94" s="46" t="n">
        <x:v>0.005255999999999999</x:v>
      </x:c>
      <x:c r="Q94" s="46" t="n">
        <x:v>0.008787165</x:v>
      </x:c>
      <x:c r="R94" s="46" t="n">
        <x:v>0.01275</x:v>
      </x:c>
      <x:c r="S94" s="46" t="n">
        <x:v>0.005255999999999999</x:v>
      </x:c>
      <x:c r="T94" s="46" t="n">
        <x:v>0.008787165</x:v>
      </x:c>
      <x:c r="U94" s="46" t="n">
        <x:v>0.01275</x:v>
      </x:c>
      <x:c r="V94" s="44" t="n">
        <x:v>0</x:v>
      </x:c>
      <x:c r="W94" s="44" t="n">
        <x:v>6</x:v>
      </x:c>
      <x:c r="X94" s="44" t="str">
        <x:v>PR-L02, PR-L05, PR-N02, PR-N04, PR-N12, Y01</x:v>
      </x:c>
    </x:row>
    <x:row r="95" ht="40" customHeight="1">
      <x:c r="A95" s="44" t="str">
        <x:v>Galaxolide 50%</x:v>
      </x:c>
      <x:c r="B95" s="44" t="str">
        <x:v>50% in DEP</x:v>
      </x:c>
      <x:c r="C95" s="46" t="n">
        <x:v>0.5</x:v>
      </x:c>
      <x:c r="D95" s="44" t="str">
        <x:v>musk</x:v>
      </x:c>
      <x:c r="E95" s="44" t="str">
        <x:v>PREPARED STOCK</x:v>
      </x:c>
      <x:c r="F95" s="44" t="n">
        <x:v>102</x:v>
      </x:c>
      <x:c r="G95" s="44" t="n">
        <x:v>102</x:v>
      </x:c>
      <x:c r="H95" s="44" t="str">
        <x:v>Amouage, CHANEL, Dior, Kenny Originals, Prada, YSL</x:v>
      </x:c>
      <x:c r="I95" s="48" t="n">
        <x:v>0.593</x:v>
      </x:c>
      <x:c r="J95" s="48" t="n">
        <x:v>7.163</x:v>
      </x:c>
      <x:c r="K95" s="48" t="n">
        <x:v>11.784029411764706</x:v>
      </x:c>
      <x:c r="L95" s="48" t="n">
        <x:v>57.94</x:v>
      </x:c>
      <x:c r="M95" s="46" t="n">
        <x:v>0.000593</x:v>
      </x:c>
      <x:c r="N95" s="46" t="n">
        <x:v>0.007163</x:v>
      </x:c>
      <x:c r="O95" s="46" t="n">
        <x:v>0.05794</x:v>
      </x:c>
      <x:c r="P95" s="46" t="n">
        <x:v>0.00017196999999999997</x:v>
      </x:c>
      <x:c r="Q95" s="46" t="n">
        <x:v>0.001622185</x:v>
      </x:c>
      <x:c r="R95" s="46" t="n">
        <x:v>0.014485</x:v>
      </x:c>
      <x:c r="S95" s="46" t="n">
        <x:v>0.00008598499999999998</x:v>
      </x:c>
      <x:c r="T95" s="46" t="n">
        <x:v>0.0008110925</x:v>
      </x:c>
      <x:c r="U95" s="46" t="n">
        <x:v>0.0072425</x:v>
      </x:c>
      <x:c r="V95" s="44" t="n">
        <x:v>0</x:v>
      </x:c>
      <x:c r="W95" s="44" t="n">
        <x:v>0</x:v>
      </x:c>
      <x:c r="X95"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PR-E03, PR-E04, PR-E09, PR-L02, PR-L05, PR-N01, PR-N03, PR-N08, S01, S02, S03, S04, S05, S06, S07, S08, Y01, Y02, Y03, Y04, Y05, Y06, Y07, Y08, Y09, Y10, Y11, Y12, Y13, Y14</x:v>
      </x:c>
    </x:row>
    <x:row r="96" ht="40" customHeight="1">
      <x:c r="A96" s="44" t="str">
        <x:v>Galbanum Resinoid 10%</x:v>
      </x:c>
      <x:c r="B96" s="44" t="str">
        <x:v>10% target-required working dilution</x:v>
      </x:c>
      <x:c r="C96" s="46" t="n">
        <x:v>0.1</x:v>
      </x:c>
      <x:c r="D96" s="44" t="str">
        <x:v>Green fruit</x:v>
      </x:c>
      <x:c r="E96" s="44" t="str">
        <x:v>TARGET REQUIRED / INVENTORY GAP</x:v>
      </x:c>
      <x:c r="F96" s="44" t="n">
        <x:v>1</x:v>
      </x:c>
      <x:c r="G96" s="44" t="n">
        <x:v>1</x:v>
      </x:c>
      <x:c r="H96" s="44" t="str">
        <x:v>Amouage</x:v>
      </x:c>
      <x:c r="I96" s="48" t="n">
        <x:v>31.185</x:v>
      </x:c>
      <x:c r="J96" s="48" t="n">
        <x:v>31.185</x:v>
      </x:c>
      <x:c r="K96" s="48" t="n">
        <x:v>31.185</x:v>
      </x:c>
      <x:c r="L96" s="48" t="n">
        <x:v>31.185</x:v>
      </x:c>
      <x:c r="M96" s="46" t="n">
        <x:v>0.031185</x:v>
      </x:c>
      <x:c r="N96" s="46" t="n">
        <x:v>0.031185</x:v>
      </x:c>
      <x:c r="O96" s="46" t="n">
        <x:v>0.031185</x:v>
      </x:c>
      <x:c r="P96" s="46" t="n">
        <x:v>0.00779625</x:v>
      </x:c>
      <x:c r="Q96" s="46" t="n">
        <x:v>0.00779625</x:v>
      </x:c>
      <x:c r="R96" s="46" t="n">
        <x:v>0.00779625</x:v>
      </x:c>
      <x:c r="S96" s="46" t="n">
        <x:v>0.000779625</x:v>
      </x:c>
      <x:c r="T96" s="46" t="n">
        <x:v>0.000779625</x:v>
      </x:c>
      <x:c r="U96" s="46" t="n">
        <x:v>0.000779625</x:v>
      </x:c>
      <x:c r="V96" s="44" t="n">
        <x:v>1</x:v>
      </x:c>
      <x:c r="W96" s="44" t="n">
        <x:v>0</x:v>
      </x:c>
      <x:c r="X96" s="44" t="str">
        <x:v>AM-L05</x:v>
      </x:c>
    </x:row>
    <x:row r="97" ht="40" customHeight="1">
      <x:c r="A97" s="44" t="str">
        <x:v>Gamma Undecalactone</x:v>
      </x:c>
      <x:c r="B97" s="44" t="str">
        <x:v>neat / as supplied</x:v>
      </x:c>
      <x:c r="C97" s="46" t="n">
        <x:v>1</x:v>
      </x:c>
      <x:c r="D97" s="44" t="str">
        <x:v>Green fruit</x:v>
      </x:c>
      <x:c r="E97" s="44" t="str">
        <x:v>DIRECT</x:v>
      </x:c>
      <x:c r="F97" s="44" t="n">
        <x:v>15</x:v>
      </x:c>
      <x:c r="G97" s="44" t="n">
        <x:v>15</x:v>
      </x:c>
      <x:c r="H97" s="44" t="str">
        <x:v>Amouage, Prada</x:v>
      </x:c>
      <x:c r="I97" s="48" t="n">
        <x:v>0.713</x:v>
      </x:c>
      <x:c r="J97" s="48" t="n">
        <x:v>3.664</x:v>
      </x:c>
      <x:c r="K97" s="48" t="n">
        <x:v>3.6239333333333335</x:v>
      </x:c>
      <x:c r="L97" s="48" t="n">
        <x:v>6.385</x:v>
      </x:c>
      <x:c r="M97" s="46" t="n">
        <x:v>0.000713</x:v>
      </x:c>
      <x:c r="N97" s="46" t="n">
        <x:v>0.003664</x:v>
      </x:c>
      <x:c r="O97" s="46" t="n">
        <x:v>0.006384999999999999</x:v>
      </x:c>
      <x:c r="P97" s="46" t="n">
        <x:v>0.00017825</x:v>
      </x:c>
      <x:c r="Q97" s="46" t="n">
        <x:v>0.0008816399999999999</x:v>
      </x:c>
      <x:c r="R97" s="46" t="n">
        <x:v>0.0027172200000000002</x:v>
      </x:c>
      <x:c r="S97" s="46" t="n">
        <x:v>0.00017825</x:v>
      </x:c>
      <x:c r="T97" s="46" t="n">
        <x:v>0.0008816399999999999</x:v>
      </x:c>
      <x:c r="U97" s="46" t="n">
        <x:v>0.0027172200000000002</x:v>
      </x:c>
      <x:c r="V97" s="44" t="n">
        <x:v>0</x:v>
      </x:c>
      <x:c r="W97" s="44" t="n">
        <x:v>0</x:v>
      </x:c>
      <x:c r="X97" s="44" t="str">
        <x:v>AM-E01, AM-E02, AM-E05, AM-E06, AM-E12, AM-E13, AM-L02, AM-L04, AM-L08, AM-N03, AM-N06, AM-N09, AM-N10, AM-N13, PR-N14</x:v>
      </x:c>
    </x:row>
    <x:row r="98" ht="40" customHeight="1">
      <x:c r="A98" s="44" t="str">
        <x:v>Geosmin 0.1%</x:v>
      </x:c>
      <x:c r="B98" s="44" t="str">
        <x:v>0.1% in TEC</x:v>
      </x:c>
      <x:c r="C98" s="46" t="n">
        <x:v>0.001</x:v>
      </x:c>
      <x:c r="D98" s="44" t="str">
        <x:v>Marine / green</x:v>
      </x:c>
      <x:c r="E98" s="44" t="str">
        <x:v>TRACE PREMIX</x:v>
      </x:c>
      <x:c r="F98" s="44" t="n">
        <x:v>3</x:v>
      </x:c>
      <x:c r="G98" s="44" t="n">
        <x:v>3</x:v>
      </x:c>
      <x:c r="H98" s="44" t="str">
        <x:v>CHANEL, Prada</x:v>
      </x:c>
      <x:c r="I98" s="48" t="n">
        <x:v>0.155</x:v>
      </x:c>
      <x:c r="J98" s="48" t="n">
        <x:v>2.584</x:v>
      </x:c>
      <x:c r="K98" s="48" t="n">
        <x:v>2.1326666666666667</x:v>
      </x:c>
      <x:c r="L98" s="48" t="n">
        <x:v>3.659</x:v>
      </x:c>
      <x:c r="M98" s="46" t="n">
        <x:v>0.000155</x:v>
      </x:c>
      <x:c r="N98" s="46" t="n">
        <x:v>0.0025840000000000004</x:v>
      </x:c>
      <x:c r="O98" s="46" t="n">
        <x:v>0.003659</x:v>
      </x:c>
      <x:c r="P98" s="46" t="n">
        <x:v>0.00003875</x:v>
      </x:c>
      <x:c r="Q98" s="46" t="n">
        <x:v>0.00046511999999999996</x:v>
      </x:c>
      <x:c r="R98" s="46" t="n">
        <x:v>0.00062203</x:v>
      </x:c>
      <x:c r="S98" s="46" t="n">
        <x:v>3.875e-8</x:v>
      </x:c>
      <x:c r="T98" s="46" t="n">
        <x:v>4.6511999999999997e-7</x:v>
      </x:c>
      <x:c r="U98" s="46" t="n">
        <x:v>6.2203e-7</x:v>
      </x:c>
      <x:c r="V98" s="44" t="n">
        <x:v>0</x:v>
      </x:c>
      <x:c r="W98" s="44" t="n">
        <x:v>0</x:v>
      </x:c>
      <x:c r="X98" s="44" t="str">
        <x:v>C07, PR-E03, PR-N03</x:v>
      </x:c>
    </x:row>
    <x:row r="99" ht="40" customHeight="1">
      <x:c r="A99" s="44" t="str">
        <x:v>Geosmin 1%</x:v>
      </x:c>
      <x:c r="B99" s="44" t="str">
        <x:v>1% in TEC</x:v>
      </x:c>
      <x:c r="C99" s="46" t="n">
        <x:v>0.01</x:v>
      </x:c>
      <x:c r="D99" s="44" t="str">
        <x:v>Earth / moss</x:v>
      </x:c>
      <x:c r="E99" s="44" t="str">
        <x:v>TRACE PREMIX</x:v>
      </x:c>
      <x:c r="F99" s="44" t="n">
        <x:v>38</x:v>
      </x:c>
      <x:c r="G99" s="44" t="n">
        <x:v>38</x:v>
      </x:c>
      <x:c r="H99" s="44" t="str">
        <x:v>Amouage</x:v>
      </x:c>
      <x:c r="I99" s="48" t="n">
        <x:v>0.381</x:v>
      </x:c>
      <x:c r="J99" s="48" t="n">
        <x:v>1.3205</x:v>
      </x:c>
      <x:c r="K99" s="48" t="n">
        <x:v>1.5591315789473685</x:v>
      </x:c>
      <x:c r="L99" s="48" t="n">
        <x:v>3</x:v>
      </x:c>
      <x:c r="M99" s="46" t="n">
        <x:v>0.00038100000000000005</x:v>
      </x:c>
      <x:c r="N99" s="46" t="n">
        <x:v>0.0013205</x:v>
      </x:c>
      <x:c r="O99" s="46" t="n">
        <x:v>0.003</x:v>
      </x:c>
      <x:c r="P99" s="46" t="n">
        <x:v>0.00011049</x:v>
      </x:c>
      <x:c r="Q99" s="46" t="n">
        <x:v>0.0003654300000000001</x:v>
      </x:c>
      <x:c r="R99" s="46" t="n">
        <x:v>0.0009832</x:v>
      </x:c>
      <x:c r="S99" s="46" t="n">
        <x:v>0.0000011049</x:v>
      </x:c>
      <x:c r="T99" s="46" t="n">
        <x:v>0.0000036543000000000003</x:v>
      </x:c>
      <x:c r="U99" s="46" t="n">
        <x:v>0.000009832</x:v>
      </x:c>
      <x:c r="V99" s="44" t="n">
        <x:v>0</x:v>
      </x:c>
      <x:c r="W99" s="44" t="n">
        <x:v>0</x:v>
      </x:c>
      <x:c r="X99" s="44" t="str">
        <x:v>AM-E01, AM-E02, AM-E03, AM-E04, AM-E05, AM-E06, AM-E07, AM-E08, AM-E09, AM-E10, AM-E12, AM-E13, AM-E14, AM-E15, AM-E16, AM-L01, AM-L02, AM-L04, AM-L05, AM-L06, AM-L07, AM-L09, AM-N01, AM-N02, AM-N03, AM-N04, AM-N05, AM-N06, AM-N07, AM-N08, AM-N09, AM-N10, AM-N11, AM-N12, AM-N13, AM-N14, AM-N15, AM-N16</x:v>
      </x:c>
    </x:row>
    <x:row r="100" ht="40" customHeight="1">
      <x:c r="A100" s="44" t="str">
        <x:v>Geraniol 10%</x:v>
      </x:c>
      <x:c r="B100" s="44" t="str">
        <x:v>10% working stock</x:v>
      </x:c>
      <x:c r="C100" s="46" t="n">
        <x:v>0.1</x:v>
      </x:c>
      <x:c r="D100" s="44" t="str">
        <x:v>air_floral</x:v>
      </x:c>
      <x:c r="E100" s="44" t="str">
        <x:v>PREPARED STOCK</x:v>
      </x:c>
      <x:c r="F100" s="44" t="n">
        <x:v>30</x:v>
      </x:c>
      <x:c r="G100" s="44" t="n">
        <x:v>30</x:v>
      </x:c>
      <x:c r="H100" s="44" t="str">
        <x:v>Amouage, CHANEL, Dior, Prada, YSL</x:v>
      </x:c>
      <x:c r="I100" s="48" t="n">
        <x:v>0.296</x:v>
      </x:c>
      <x:c r="J100" s="48" t="n">
        <x:v>4.9515</x:v>
      </x:c>
      <x:c r="K100" s="48" t="n">
        <x:v>8.5713</x:v>
      </x:c>
      <x:c r="L100" s="48" t="n">
        <x:v>49.645</x:v>
      </x:c>
      <x:c r="M100" s="46" t="n">
        <x:v>0.000296</x:v>
      </x:c>
      <x:c r="N100" s="46" t="n">
        <x:v>0.0049515</x:v>
      </x:c>
      <x:c r="O100" s="46" t="n">
        <x:v>0.049645</x:v>
      </x:c>
      <x:c r="P100" s="46" t="n">
        <x:v>0.00009285</x:v>
      </x:c>
      <x:c r="Q100" s="46" t="n">
        <x:v>0.0007932999999999999</x:v>
      </x:c>
      <x:c r="R100" s="46" t="n">
        <x:v>0.0089361</x:v>
      </x:c>
      <x:c r="S100" s="46" t="n">
        <x:v>0.000009285</x:v>
      </x:c>
      <x:c r="T100" s="46" t="n">
        <x:v>0.00007932999999999999</x:v>
      </x:c>
      <x:c r="U100" s="46" t="n">
        <x:v>0.0008936100000000001</x:v>
      </x:c>
      <x:c r="V100" s="44" t="n">
        <x:v>0</x:v>
      </x:c>
      <x:c r="W100" s="44" t="n">
        <x:v>0</x:v>
      </x:c>
      <x:c r="X100" s="44" t="str">
        <x:v>AM-E01, AM-E04, AM-E05, AM-E09, AM-E11, AM-E14, AM-E15, AM-L01, AM-L04, AM-L08, AM-N04, AM-N05, AM-N06, AM-N15, C01, C02, H06, H13, H14, H15, PR-E01, PR-E03, PR-E09, PR-L04, PR-N06, S01, S02, S03, Y06, Y14</x:v>
      </x:c>
    </x:row>
    <x:row r="101" ht="40" customHeight="1">
      <x:c r="A101" s="44" t="str">
        <x:v>Geranium EO</x:v>
      </x:c>
      <x:c r="B101" s="44" t="str">
        <x:v>neat / as supplied</x:v>
      </x:c>
      <x:c r="C101" s="46" t="n">
        <x:v>1</x:v>
      </x:c>
      <x:c r="D101" s="44" t="str">
        <x:v>Floral air</x:v>
      </x:c>
      <x:c r="E101" s="44" t="str">
        <x:v>DIRECT</x:v>
      </x:c>
      <x:c r="F101" s="44" t="n">
        <x:v>22</x:v>
      </x:c>
      <x:c r="G101" s="44" t="n">
        <x:v>22</x:v>
      </x:c>
      <x:c r="H101" s="44" t="str">
        <x:v>Amouage, CHANEL, Dior, Prada, YSL</x:v>
      </x:c>
      <x:c r="I101" s="48" t="n">
        <x:v>0.657</x:v>
      </x:c>
      <x:c r="J101" s="48" t="n">
        <x:v>6.0235</x:v>
      </x:c>
      <x:c r="K101" s="48" t="n">
        <x:v>20.835590909090907</x:v>
      </x:c>
      <x:c r="L101" s="48" t="n">
        <x:v>98.497</x:v>
      </x:c>
      <x:c r="M101" s="46" t="n">
        <x:v>0.000657</x:v>
      </x:c>
      <x:c r="N101" s="46" t="n">
        <x:v>0.006023499999999999</x:v>
      </x:c>
      <x:c r="O101" s="46" t="n">
        <x:v>0.098497</x:v>
      </x:c>
      <x:c r="P101" s="46" t="n">
        <x:v>0.00009855</x:v>
      </x:c>
      <x:c r="Q101" s="46" t="n">
        <x:v>0.0011004950000000002</x:v>
      </x:c>
      <x:c r="R101" s="46" t="n">
        <x:v>0.018871730000000003</x:v>
      </x:c>
      <x:c r="S101" s="46" t="n">
        <x:v>0.00009855</x:v>
      </x:c>
      <x:c r="T101" s="46" t="n">
        <x:v>0.0011004950000000002</x:v>
      </x:c>
      <x:c r="U101" s="46" t="n">
        <x:v>0.018871730000000003</x:v>
      </x:c>
      <x:c r="V101" s="44" t="n">
        <x:v>0</x:v>
      </x:c>
      <x:c r="W101" s="44" t="n">
        <x:v>0</x:v>
      </x:c>
      <x:c r="X101" s="44" t="str">
        <x:v>AM-L01, AM-N15, C07, PR-E01, PR-E02, PR-E03, PR-E04, PR-E06, PR-E07, PR-E08, PR-E09, PR-L01, PR-L04, PR-N01, PR-N02, PR-N06, S01, S03, Y01, Y06, Y08, Y14</x:v>
      </x:c>
    </x:row>
    <x:row r="102" ht="40" customHeight="1">
      <x:c r="A102" s="44" t="str">
        <x:v>Ginger EO / CO2</x:v>
      </x:c>
      <x:c r="B102" s="44" t="str">
        <x:v>target-required authentic material</x:v>
      </x:c>
      <x:c r="C102" s="46" t="n">
        <x:v>1</x:v>
      </x:c>
      <x:c r="D102" s="44" t="str">
        <x:v>Spice</x:v>
      </x:c>
      <x:c r="E102" s="44" t="str">
        <x:v>TARGET REQUIRED / INVENTORY GAP</x:v>
      </x:c>
      <x:c r="F102" s="44" t="n">
        <x:v>4</x:v>
      </x:c>
      <x:c r="G102" s="44" t="n">
        <x:v>4</x:v>
      </x:c>
      <x:c r="H102" s="44" t="str">
        <x:v>Amouage, Dior, YSL</x:v>
      </x:c>
      <x:c r="I102" s="48" t="n">
        <x:v>6.263</x:v>
      </x:c>
      <x:c r="J102" s="48" t="n">
        <x:v>8.059</x:v>
      </x:c>
      <x:c r="K102" s="48" t="n">
        <x:v>9.722249999999999</x:v>
      </x:c>
      <x:c r="L102" s="48" t="n">
        <x:v>16.508</x:v>
      </x:c>
      <x:c r="M102" s="46" t="n">
        <x:v>0.0062629999999999995</x:v>
      </x:c>
      <x:c r="N102" s="46" t="n">
        <x:v>0.008059</x:v>
      </x:c>
      <x:c r="O102" s="46" t="n">
        <x:v>0.016508</x:v>
      </x:c>
      <x:c r="P102" s="46" t="n">
        <x:v>0.0009394499999999999</x:v>
      </x:c>
      <x:c r="Q102" s="46" t="n">
        <x:v>0.0016928499999999999</x:v>
      </x:c>
      <x:c r="R102" s="46" t="n">
        <x:v>0.0029714399999999997</x:v>
      </x:c>
      <x:c r="S102" s="46" t="n">
        <x:v>0.0009394499999999999</x:v>
      </x:c>
      <x:c r="T102" s="46" t="n">
        <x:v>0.0016928499999999999</x:v>
      </x:c>
      <x:c r="U102" s="46" t="n">
        <x:v>0.0029714399999999997</x:v>
      </x:c>
      <x:c r="V102" s="44" t="n">
        <x:v>4</x:v>
      </x:c>
      <x:c r="W102" s="44" t="n">
        <x:v>0</x:v>
      </x:c>
      <x:c r="X102" s="44" t="str">
        <x:v>AM-E12, H11, H12, Y06</x:v>
      </x:c>
    </x:row>
    <x:row r="103" ht="40" customHeight="1">
      <x:c r="A103" s="44" t="str">
        <x:v>Globanone 50%</x:v>
      </x:c>
      <x:c r="B103" s="44" t="str">
        <x:v>50% in DPG</x:v>
      </x:c>
      <x:c r="C103" s="46" t="n">
        <x:v>0.5</x:v>
      </x:c>
      <x:c r="D103" s="44" t="str">
        <x:v>Musk</x:v>
      </x:c>
      <x:c r="E103" s="44" t="str">
        <x:v>PREPARED STOCK</x:v>
      </x:c>
      <x:c r="F103" s="44" t="n">
        <x:v>49</x:v>
      </x:c>
      <x:c r="G103" s="44" t="n">
        <x:v>49</x:v>
      </x:c>
      <x:c r="H103" s="44" t="str">
        <x:v>Amouage, CHANEL, Prada, YSL</x:v>
      </x:c>
      <x:c r="I103" s="48" t="n">
        <x:v>0.247</x:v>
      </x:c>
      <x:c r="J103" s="48" t="n">
        <x:v>1.375</x:v>
      </x:c>
      <x:c r="K103" s="48" t="n">
        <x:v>2.7465510204081633</x:v>
      </x:c>
      <x:c r="L103" s="48" t="n">
        <x:v>15.929</x:v>
      </x:c>
      <x:c r="M103" s="46" t="n">
        <x:v>0.000247</x:v>
      </x:c>
      <x:c r="N103" s="46" t="n">
        <x:v>0.0013750000000000001</x:v>
      </x:c>
      <x:c r="O103" s="46" t="n">
        <x:v>0.015929</x:v>
      </x:c>
      <x:c r="P103" s="46" t="n">
        <x:v>0.00007163</x:v>
      </x:c>
      <x:c r="Q103" s="46" t="n">
        <x:v>0.00040474999999999994</x:v>
      </x:c>
      <x:c r="R103" s="46" t="n">
        <x:v>0.00339625</x:v>
      </x:c>
      <x:c r="S103" s="46" t="n">
        <x:v>0.000035815</x:v>
      </x:c>
      <x:c r="T103" s="46" t="n">
        <x:v>0.00020237499999999997</x:v>
      </x:c>
      <x:c r="U103" s="46" t="n">
        <x:v>0.001698125</x:v>
      </x:c>
      <x:c r="V103" s="44" t="n">
        <x:v>0</x:v>
      </x:c>
      <x:c r="W103" s="44" t="n">
        <x:v>0</x:v>
      </x:c>
      <x:c r="X103" s="44" t="str">
        <x:v>AM-E01, AM-E02, AM-E03, AM-E04, AM-E05, AM-E06, AM-E07, AM-E08, AM-E09, AM-E10, AM-E11, AM-E12, AM-E13, AM-E14, AM-E15, AM-E16, AM-L01, AM-L02, AM-L03, AM-L04, AM-L05, AM-L06, AM-L07, AM-L08, AM-L09, AM-N01, AM-N02, AM-N03, AM-N04, AM-N05, AM-N06, AM-N07, AM-N08, AM-N09, AM-N10, AM-N11, AM-N12, AM-N13, AM-N14, AM-N15, AM-N16, C07, C08, PR-E06, PR-E07, PR-E09, PR-N06, Y01, Y08</x:v>
      </x:c>
    </x:row>
    <x:row r="104" ht="40" customHeight="1">
      <x:c r="A104" s="44" t="str">
        <x:v>Grapefruit FCF Oil</x:v>
      </x:c>
      <x:c r="B104" s="44" t="str">
        <x:v>neat / verify label</x:v>
      </x:c>
      <x:c r="C104" s="46" t="n">
        <x:v>1</x:v>
      </x:c>
      <x:c r="D104" s="44" t="str">
        <x:v>citrus_top</x:v>
      </x:c>
      <x:c r="E104" s="44" t="str">
        <x:v>DIRECT · VERIFY LABEL</x:v>
      </x:c>
      <x:c r="F104" s="44" t="n">
        <x:v>23</x:v>
      </x:c>
      <x:c r="G104" s="44" t="n">
        <x:v>23</x:v>
      </x:c>
      <x:c r="H104" s="44" t="str">
        <x:v>CHANEL, Dior, Kenny Originals, Prada, YSL</x:v>
      </x:c>
      <x:c r="I104" s="48" t="n">
        <x:v>2.131</x:v>
      </x:c>
      <x:c r="J104" s="48" t="n">
        <x:v>19.605</x:v>
      </x:c>
      <x:c r="K104" s="48" t="n">
        <x:v>59.18104347826087</x:v>
      </x:c>
      <x:c r="L104" s="48" t="n">
        <x:v>259.999</x:v>
      </x:c>
      <x:c r="M104" s="46" t="n">
        <x:v>0.0021309999999999996</x:v>
      </x:c>
      <x:c r="N104" s="46" t="n">
        <x:v>0.019605</x:v>
      </x:c>
      <x:c r="O104" s="46" t="n">
        <x:v>0.25999900000000004</x:v>
      </x:c>
      <x:c r="P104" s="46" t="n">
        <x:v>0.00046881999999999995</x:v>
      </x:c>
      <x:c r="Q104" s="46" t="n">
        <x:v>0.00294075</x:v>
      </x:c>
      <x:c r="R104" s="46" t="n">
        <x:v>0.05199980000000001</x:v>
      </x:c>
      <x:c r="S104" s="46" t="n">
        <x:v>0.00046881999999999995</x:v>
      </x:c>
      <x:c r="T104" s="46" t="n">
        <x:v>0.00294075</x:v>
      </x:c>
      <x:c r="U104" s="46" t="n">
        <x:v>0.05199980000000001</x:v>
      </x:c>
      <x:c r="V104" s="44" t="n">
        <x:v>0</x:v>
      </x:c>
      <x:c r="W104" s="44" t="n">
        <x:v>23</x:v>
      </x:c>
      <x:c r="X104" s="44" t="str">
        <x:v>C01, C02, C03, C04, C06, C07, C08, H08, H10, H11, H12, H13, H14, H15, O05, O06, PR-E06, S03, S06, S08, Y01, Y05, Y08</x:v>
      </x:c>
    </x:row>
    <x:row r="105" ht="40" customHeight="1">
      <x:c r="A105" s="44" t="str">
        <x:v>Grapefruit FCF Oil Sicilian</x:v>
      </x:c>
      <x:c r="B105" s="44" t="str">
        <x:v>neat / as supplied</x:v>
      </x:c>
      <x:c r="C105" s="46" t="n">
        <x:v>1</x:v>
      </x:c>
      <x:c r="D105" s="44" t="str">
        <x:v>Citrus top</x:v>
      </x:c>
      <x:c r="E105" s="44" t="str">
        <x:v>DIRECT</x:v>
      </x:c>
      <x:c r="F105" s="44" t="n">
        <x:v>46</x:v>
      </x:c>
      <x:c r="G105" s="44" t="n">
        <x:v>46</x:v>
      </x:c>
      <x:c r="H105" s="44" t="str">
        <x:v>Amouage, Dior, Prada</x:v>
      </x:c>
      <x:c r="I105" s="48" t="n">
        <x:v>0.154</x:v>
      </x:c>
      <x:c r="J105" s="48" t="n">
        <x:v>1.2085</x:v>
      </x:c>
      <x:c r="K105" s="48" t="n">
        <x:v>11.351347826086958</x:v>
      </x:c>
      <x:c r="L105" s="48" t="n">
        <x:v>188.431</x:v>
      </x:c>
      <x:c r="M105" s="46" t="n">
        <x:v>0.000154</x:v>
      </x:c>
      <x:c r="N105" s="46" t="n">
        <x:v>0.0012085</x:v>
      </x:c>
      <x:c r="O105" s="46" t="n">
        <x:v>0.188431</x:v>
      </x:c>
      <x:c r="P105" s="46" t="n">
        <x:v>0.00003696</x:v>
      </x:c>
      <x:c r="Q105" s="46" t="n">
        <x:v>0.00033185</x:v>
      </x:c>
      <x:c r="R105" s="46" t="n">
        <x:v>0.034698200000000005</x:v>
      </x:c>
      <x:c r="S105" s="46" t="n">
        <x:v>0.00003696</x:v>
      </x:c>
      <x:c r="T105" s="46" t="n">
        <x:v>0.00033185</x:v>
      </x:c>
      <x:c r="U105" s="46" t="n">
        <x:v>0.034698200000000005</x:v>
      </x:c>
      <x:c r="V105" s="44" t="n">
        <x:v>0</x:v>
      </x:c>
      <x:c r="W105" s="44" t="n">
        <x:v>0</x:v>
      </x:c>
      <x:c r="X105" s="44" t="str">
        <x:v>AM-E01, AM-E02, AM-E03, AM-E04, AM-E05, AM-E06, AM-E07, AM-E08, AM-E09, AM-E10, AM-E12, AM-E13, AM-E14, AM-E15, AM-E16, AM-L01, AM-L02, AM-L03, AM-L04, AM-L06, AM-L07, AM-L08, AM-L09, AM-N02, AM-N03, AM-N04, AM-N05, AM-N06, AM-N07, AM-N09, AM-N10, AM-N11, AM-N12, AM-N13, AM-N14, AM-N15, AM-N16, H09, PR-E05, PR-E06, PR-N03, PR-N10, PR-N11, PR-N12, PR-N13, PR-N14</x:v>
      </x:c>
    </x:row>
    <x:row r="106" ht="40" customHeight="1">
      <x:c r="A106" s="44" t="str">
        <x:v>Guaiacol 10%</x:v>
      </x:c>
      <x:c r="B106" s="44" t="str">
        <x:v>10% working stock</x:v>
      </x:c>
      <x:c r="C106" s="46" t="n">
        <x:v>0.1</x:v>
      </x:c>
      <x:c r="D106" s="44" t="str">
        <x:v>leather</x:v>
      </x:c>
      <x:c r="E106" s="44" t="str">
        <x:v>PREPARED STOCK</x:v>
      </x:c>
      <x:c r="F106" s="44" t="n">
        <x:v>54</x:v>
      </x:c>
      <x:c r="G106" s="44" t="n">
        <x:v>54</x:v>
      </x:c>
      <x:c r="H106" s="44" t="str">
        <x:v>Amouage, CHANEL, Dior, Kenny Originals, Prada</x:v>
      </x:c>
      <x:c r="I106" s="48" t="n">
        <x:v>0.125</x:v>
      </x:c>
      <x:c r="J106" s="48" t="n">
        <x:v>10.157499999999999</x:v>
      </x:c>
      <x:c r="K106" s="48" t="n">
        <x:v>13.59924074074074</x:v>
      </x:c>
      <x:c r="L106" s="48" t="n">
        <x:v>34.459</x:v>
      </x:c>
      <x:c r="M106" s="46" t="n">
        <x:v>0.000125</x:v>
      </x:c>
      <x:c r="N106" s="46" t="n">
        <x:v>0.0101575</x:v>
      </x:c>
      <x:c r="O106" s="46" t="n">
        <x:v>0.034459000000000004</x:v>
      </x:c>
      <x:c r="P106" s="46" t="n">
        <x:v>0.00003125</x:v>
      </x:c>
      <x:c r="Q106" s="46" t="n">
        <x:v>0.0027481</x:v>
      </x:c>
      <x:c r="R106" s="46" t="n">
        <x:v>0.010484509999999997</x:v>
      </x:c>
      <x:c r="S106" s="46" t="n">
        <x:v>0.0000031250000000000006</x:v>
      </x:c>
      <x:c r="T106" s="46" t="n">
        <x:v>0.00027481</x:v>
      </x:c>
      <x:c r="U106" s="46" t="n">
        <x:v>0.0010484509999999997</x:v>
      </x:c>
      <x:c r="V106" s="44" t="n">
        <x:v>0</x:v>
      </x:c>
      <x:c r="W106" s="44" t="n">
        <x:v>0</x:v>
      </x:c>
      <x:c r="X106" s="44" t="str">
        <x:v>AM-E01, AM-E02, AM-E03, AM-E04, AM-E05, AM-E06, AM-E07, AM-E08, AM-E09, AM-E11, AM-E13, AM-E14, AM-E15, AM-E16, AM-L02, AM-L03, AM-L04, AM-L05, AM-L06, AM-L07, AM-L08, AM-L09, AM-N01, AM-N02, AM-N03, AM-N05, AM-N07, AM-N08, AM-N09, AM-N11, AM-N12, AM-N13, AM-N15, C07, C08, H01, H04, H05, H07, H08, O04, PR-E02, PR-E04, PR-E07, PR-E08, PR-E09, PR-L01, PR-N05, PR-N06, PR-N07, PR-N09, PR-N13, PR-N14, S08</x:v>
      </x:c>
    </x:row>
    <x:row r="107" ht="40" customHeight="1">
      <x:c r="A107" s="44" t="str">
        <x:v>Guaiacwood EO</x:v>
      </x:c>
      <x:c r="B107" s="44" t="str">
        <x:v>target-required authentic material</x:v>
      </x:c>
      <x:c r="C107" s="46" t="n">
        <x:v>1</x:v>
      </x:c>
      <x:c r="D107" s="44" t="str">
        <x:v>Woods / amber</x:v>
      </x:c>
      <x:c r="E107" s="44" t="str">
        <x:v>TARGET REQUIRED / INVENTORY GAP</x:v>
      </x:c>
      <x:c r="F107" s="44" t="n">
        <x:v>15</x:v>
      </x:c>
      <x:c r="G107" s="44" t="n">
        <x:v>15</x:v>
      </x:c>
      <x:c r="H107" s="44" t="str">
        <x:v>Amouage, Prada</x:v>
      </x:c>
      <x:c r="I107" s="48" t="n">
        <x:v>4.895</x:v>
      </x:c>
      <x:c r="J107" s="48" t="n">
        <x:v>8.283</x:v>
      </x:c>
      <x:c r="K107" s="48" t="n">
        <x:v>17.416066666666666</x:v>
      </x:c>
      <x:c r="L107" s="48" t="n">
        <x:v>70.796</x:v>
      </x:c>
      <x:c r="M107" s="46" t="n">
        <x:v>0.004894999999999999</x:v>
      </x:c>
      <x:c r="N107" s="46" t="n">
        <x:v>0.008282999999999999</x:v>
      </x:c>
      <x:c r="O107" s="46" t="n">
        <x:v>0.07079600000000001</x:v>
      </x:c>
      <x:c r="P107" s="46" t="n">
        <x:v>0.00139525</x:v>
      </x:c>
      <x:c r="Q107" s="46" t="n">
        <x:v>0.0020835</x:v>
      </x:c>
      <x:c r="R107" s="46" t="n">
        <x:v>0.014159200000000004</x:v>
      </x:c>
      <x:c r="S107" s="46" t="n">
        <x:v>0.00139525</x:v>
      </x:c>
      <x:c r="T107" s="46" t="n">
        <x:v>0.0020835</x:v>
      </x:c>
      <x:c r="U107" s="46" t="n">
        <x:v>0.014159200000000004</x:v>
      </x:c>
      <x:c r="V107" s="44" t="n">
        <x:v>15</x:v>
      </x:c>
      <x:c r="W107" s="44" t="n">
        <x:v>0</x:v>
      </x:c>
      <x:c r="X107" s="44" t="str">
        <x:v>AM-E01, AM-E03, AM-E04, AM-E05, AM-E06, AM-E07, AM-E13, AM-L09, AM-N01, AM-N07, AM-N08, AM-N09, AM-N15, PR-E09, PR-N06</x:v>
      </x:c>
    </x:row>
    <x:row r="108" ht="40" customHeight="1">
      <x:c r="A108" s="44" t="str">
        <x:v>Habanolide</x:v>
      </x:c>
      <x:c r="B108" s="44" t="str">
        <x:v>neat / verify label</x:v>
      </x:c>
      <x:c r="C108" s="46" t="n">
        <x:v>1</x:v>
      </x:c>
      <x:c r="D108" s="44" t="str">
        <x:v>musk</x:v>
      </x:c>
      <x:c r="E108" s="44" t="str">
        <x:v>DIRECT · VERIFY LABEL</x:v>
      </x:c>
      <x:c r="F108" s="44" t="n">
        <x:v>119</x:v>
      </x:c>
      <x:c r="G108" s="44" t="n">
        <x:v>119</x:v>
      </x:c>
      <x:c r="H108" s="44" t="str">
        <x:v>Amouage, CHANEL, Dior, Kenny Originals, Prada, YSL</x:v>
      </x:c>
      <x:c r="I108" s="48" t="n">
        <x:v>0.741</x:v>
      </x:c>
      <x:c r="J108" s="48" t="n">
        <x:v>14.609</x:v>
      </x:c>
      <x:c r="K108" s="48" t="n">
        <x:v>27.232840336134455</x:v>
      </x:c>
      <x:c r="L108" s="48" t="n">
        <x:v>115.562</x:v>
      </x:c>
      <x:c r="M108" s="46" t="n">
        <x:v>0.000741</x:v>
      </x:c>
      <x:c r="N108" s="46" t="n">
        <x:v>0.014609</x:v>
      </x:c>
      <x:c r="O108" s="46" t="n">
        <x:v>0.115562</x:v>
      </x:c>
      <x:c r="P108" s="46" t="n">
        <x:v>0.00020401000000000002</x:v>
      </x:c>
      <x:c r="Q108" s="46" t="n">
        <x:v>0.003001</x:v>
      </x:c>
      <x:c r="R108" s="46" t="n">
        <x:v>0.028004249999999998</x:v>
      </x:c>
      <x:c r="S108" s="46" t="n">
        <x:v>0.00020401000000000002</x:v>
      </x:c>
      <x:c r="T108" s="46" t="n">
        <x:v>0.003001</x:v>
      </x:c>
      <x:c r="U108" s="46" t="n">
        <x:v>0.028004249999999998</x:v>
      </x:c>
      <x:c r="V108" s="44" t="n">
        <x:v>0</x:v>
      </x:c>
      <x:c r="W108" s="44" t="n">
        <x:v>119</x:v>
      </x:c>
      <x:c r="X108"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PR-E03, PR-E04, PR-E05, PR-E06, PR-E07, PR-E08, PR-E09, PR-L01, PR-L02, PR-L03, PR-L04, PR-L05, PR-N01, PR-N02, PR-N03, PR-N04, PR-N06, PR-N07, PR-N08, PR-N09, PR-N10, PR-N11, PR-N12, PR-N13, PR-N14, S01, S02, S03, S04, S05, S06, S07, S08, Y01, Y02, Y03, Y04, Y05, Y06, Y07, Y08, Y09, Y10, Y11, Y12, Y13, Y14</x:v>
      </x:c>
    </x:row>
    <x:row r="109" ht="40" customHeight="1">
      <x:c r="A109" s="44" t="str">
        <x:v>Hay Absolute 10%</x:v>
      </x:c>
      <x:c r="B109" s="44" t="str">
        <x:v>10% target-required working dilution</x:v>
      </x:c>
      <x:c r="C109" s="46" t="n">
        <x:v>0.1</x:v>
      </x:c>
      <x:c r="D109" s="44" t="str">
        <x:v>Sweet balsamic</x:v>
      </x:c>
      <x:c r="E109" s="44" t="str">
        <x:v>TARGET REQUIRED / INVENTORY GAP</x:v>
      </x:c>
      <x:c r="F109" s="44" t="n">
        <x:v>1</x:v>
      </x:c>
      <x:c r="G109" s="44" t="n">
        <x:v>1</x:v>
      </x:c>
      <x:c r="H109" s="44" t="str">
        <x:v>CHANEL</x:v>
      </x:c>
      <x:c r="I109" s="48" t="n">
        <x:v>9.229</x:v>
      </x:c>
      <x:c r="J109" s="48" t="n">
        <x:v>9.229</x:v>
      </x:c>
      <x:c r="K109" s="48" t="n">
        <x:v>9.229</x:v>
      </x:c>
      <x:c r="L109" s="48" t="n">
        <x:v>9.229</x:v>
      </x:c>
      <x:c r="M109" s="46" t="n">
        <x:v>0.009229</x:v>
      </x:c>
      <x:c r="N109" s="46" t="n">
        <x:v>0.009229</x:v>
      </x:c>
      <x:c r="O109" s="46" t="n">
        <x:v>0.009229</x:v>
      </x:c>
      <x:c r="P109" s="46" t="n">
        <x:v>0.0013843499999999997</x:v>
      </x:c>
      <x:c r="Q109" s="46" t="n">
        <x:v>0.0013843499999999997</x:v>
      </x:c>
      <x:c r="R109" s="46" t="n">
        <x:v>0.0013843499999999997</x:v>
      </x:c>
      <x:c r="S109" s="46" t="n">
        <x:v>0.00013843499999999998</x:v>
      </x:c>
      <x:c r="T109" s="46" t="n">
        <x:v>0.00013843499999999998</x:v>
      </x:c>
      <x:c r="U109" s="46" t="n">
        <x:v>0.00013843499999999998</x:v>
      </x:c>
      <x:c r="V109" s="44" t="n">
        <x:v>1</x:v>
      </x:c>
      <x:c r="W109" s="44" t="n">
        <x:v>0</x:v>
      </x:c>
      <x:c r="X109" s="44" t="str">
        <x:v>C01</x:v>
      </x:c>
    </x:row>
    <x:row r="110" ht="40" customHeight="1">
      <x:c r="A110" s="44" t="str">
        <x:v>Hazelnut Accord 10%</x:v>
      </x:c>
      <x:c r="B110" s="44" t="str">
        <x:v>10% target-required accord</x:v>
      </x:c>
      <x:c r="C110" s="46" t="n">
        <x:v>0.1</x:v>
      </x:c>
      <x:c r="D110" s="44" t="str">
        <x:v>Sweet balsamic</x:v>
      </x:c>
      <x:c r="E110" s="44" t="str">
        <x:v>TARGET REQUIRED / INVENTORY GAP</x:v>
      </x:c>
      <x:c r="F110" s="44" t="n">
        <x:v>1</x:v>
      </x:c>
      <x:c r="G110" s="44" t="n">
        <x:v>1</x:v>
      </x:c>
      <x:c r="H110" s="44" t="str">
        <x:v>Amouage</x:v>
      </x:c>
      <x:c r="I110" s="48" t="n">
        <x:v>122.67</x:v>
      </x:c>
      <x:c r="J110" s="48" t="n">
        <x:v>122.67</x:v>
      </x:c>
      <x:c r="K110" s="48" t="n">
        <x:v>122.67</x:v>
      </x:c>
      <x:c r="L110" s="48" t="n">
        <x:v>122.67</x:v>
      </x:c>
      <x:c r="M110" s="46" t="n">
        <x:v>0.12267</x:v>
      </x:c>
      <x:c r="N110" s="46" t="n">
        <x:v>0.12267</x:v>
      </x:c>
      <x:c r="O110" s="46" t="n">
        <x:v>0.12267</x:v>
      </x:c>
      <x:c r="P110" s="46" t="n">
        <x:v>0.056428200000000005</x:v>
      </x:c>
      <x:c r="Q110" s="46" t="n">
        <x:v>0.056428200000000005</x:v>
      </x:c>
      <x:c r="R110" s="46" t="n">
        <x:v>0.056428200000000005</x:v>
      </x:c>
      <x:c r="S110" s="46" t="n">
        <x:v>0.005642820000000001</x:v>
      </x:c>
      <x:c r="T110" s="46" t="n">
        <x:v>0.005642820000000001</x:v>
      </x:c>
      <x:c r="U110" s="46" t="n">
        <x:v>0.005642820000000001</x:v>
      </x:c>
      <x:c r="V110" s="44" t="n">
        <x:v>1</x:v>
      </x:c>
      <x:c r="W110" s="44" t="n">
        <x:v>0</x:v>
      </x:c>
      <x:c r="X110" s="44" t="str">
        <x:v>AM-N13</x:v>
      </x:c>
    </x:row>
    <x:row r="111" ht="40" customHeight="1">
      <x:c r="A111" s="44" t="str">
        <x:v>Hedione</x:v>
      </x:c>
      <x:c r="B111" s="44" t="str">
        <x:v>neat / as supplied</x:v>
      </x:c>
      <x:c r="C111" s="46" t="n">
        <x:v>1</x:v>
      </x:c>
      <x:c r="D111" s="44" t="str">
        <x:v>air_floral</x:v>
      </x:c>
      <x:c r="E111" s="44" t="str">
        <x:v>DIRECT</x:v>
      </x:c>
      <x:c r="F111" s="44" t="n">
        <x:v>104</x:v>
      </x:c>
      <x:c r="G111" s="44" t="n">
        <x:v>104</x:v>
      </x:c>
      <x:c r="H111" s="44" t="str">
        <x:v>Amouage, CHANEL, Dior, Kenny Originals, Prada, YSL</x:v>
      </x:c>
      <x:c r="I111" s="48" t="n">
        <x:v>0.241</x:v>
      </x:c>
      <x:c r="J111" s="48" t="n">
        <x:v>9.087499999999999</x:v>
      </x:c>
      <x:c r="K111" s="48" t="n">
        <x:v>17.652884615384615</x:v>
      </x:c>
      <x:c r="L111" s="48" t="n">
        <x:v>139.21</x:v>
      </x:c>
      <x:c r="M111" s="46" t="n">
        <x:v>0.000241</x:v>
      </x:c>
      <x:c r="N111" s="46" t="n">
        <x:v>0.0090875</x:v>
      </x:c>
      <x:c r="O111" s="46" t="n">
        <x:v>0.13921</x:v>
      </x:c>
      <x:c r="P111" s="46" t="n">
        <x:v>0.00006025</x:v>
      </x:c>
      <x:c r="Q111" s="46" t="n">
        <x:v>0.0019763750000000003</x:v>
      </x:c>
      <x:c r="R111" s="46" t="n">
        <x:v>0.0348025</x:v>
      </x:c>
      <x:c r="S111" s="46" t="n">
        <x:v>0.00006025</x:v>
      </x:c>
      <x:c r="T111" s="46" t="n">
        <x:v>0.0019763750000000003</x:v>
      </x:c>
      <x:c r="U111" s="46" t="n">
        <x:v>0.0348025</x:v>
      </x:c>
      <x:c r="V111" s="44" t="n">
        <x:v>0</x:v>
      </x:c>
      <x:c r="W111" s="44" t="n">
        <x:v>0</x:v>
      </x:c>
      <x:c r="X111" s="44" t="str">
        <x:v>AM-E01, AM-E02, AM-E03, AM-E04, AM-E05, AM-E06, AM-E07, AM-E08, AM-E09, AM-E10, AM-E11, AM-E12, AM-E13, AM-E14, AM-E15, AM-L01, AM-L02, AM-L03, AM-L04, AM-L05, AM-L06, AM-L07, AM-L08, AM-L09, AM-N01, AM-N02, AM-N03, AM-N04, AM-N05, AM-N06, AM-N07, AM-N08, AM-N09, AM-N11, AM-N12, AM-N13, AM-N15, AM-N16, C01, C02, C03, C05, C06, C07, C08, H01, H02, H03, H04, H05, H06, H07, H08, H09, H10, H11, H12, H13, H14, H15, O01, O02, O03, O05, O06, PR-E01, PR-E02, PR-E03, PR-E04, PR-E06, PR-E07, PR-E08, PR-E09, PR-L01, PR-L02, PR-L03, PR-L04, PR-L05, PR-N01, PR-N03, PR-N04, PR-N06, PR-N10, PR-N11, PR-N14, S01, S02, S03, S04, S05, S07, Y01, Y02, Y03, Y04, Y05, Y06, Y07, Y08, Y09, Y11, Y12, Y13, Y14</x:v>
      </x:c>
    </x:row>
    <x:row r="112" ht="40" customHeight="1">
      <x:c r="A112" s="44" t="str">
        <x:v>Helional 10%</x:v>
      </x:c>
      <x:c r="B112" s="44" t="str">
        <x:v>10% working stock</x:v>
      </x:c>
      <x:c r="C112" s="46" t="n">
        <x:v>0.1</x:v>
      </x:c>
      <x:c r="D112" s="44" t="str">
        <x:v>marine_green</x:v>
      </x:c>
      <x:c r="E112" s="44" t="str">
        <x:v>PREPARED STOCK</x:v>
      </x:c>
      <x:c r="F112" s="44" t="n">
        <x:v>27</x:v>
      </x:c>
      <x:c r="G112" s="44" t="n">
        <x:v>27</x:v>
      </x:c>
      <x:c r="H112" s="44" t="str">
        <x:v>Amouage, CHANEL, Dior, Kenny Originals, Prada, YSL</x:v>
      </x:c>
      <x:c r="I112" s="48" t="n">
        <x:v>0.076</x:v>
      </x:c>
      <x:c r="J112" s="48" t="n">
        <x:v>3.95</x:v>
      </x:c>
      <x:c r="K112" s="48" t="n">
        <x:v>23.431703703703704</x:v>
      </x:c>
      <x:c r="L112" s="48" t="n">
        <x:v>139.526</x:v>
      </x:c>
      <x:c r="M112" s="46" t="n">
        <x:v>0.000076</x:v>
      </x:c>
      <x:c r="N112" s="46" t="n">
        <x:v>0.00395</x:v>
      </x:c>
      <x:c r="O112" s="46" t="n">
        <x:v>0.139526</x:v>
      </x:c>
      <x:c r="P112" s="46" t="n">
        <x:v>0.0000114</x:v>
      </x:c>
      <x:c r="Q112" s="46" t="n">
        <x:v>0.0008030000000000001</x:v>
      </x:c>
      <x:c r="R112" s="46" t="n">
        <x:v>0.017856740000000003</x:v>
      </x:c>
      <x:c r="S112" s="46" t="n">
        <x:v>0.00000114</x:v>
      </x:c>
      <x:c r="T112" s="46" t="n">
        <x:v>0.0000803</x:v>
      </x:c>
      <x:c r="U112" s="46" t="n">
        <x:v>0.0017856740000000003</x:v>
      </x:c>
      <x:c r="V112" s="44" t="n">
        <x:v>0</x:v>
      </x:c>
      <x:c r="W112" s="44" t="n">
        <x:v>0</x:v>
      </x:c>
      <x:c r="X112" s="44" t="str">
        <x:v>AM-E03, AM-E04, AM-E08, AM-E09, AM-N06, C03, C04, C05, C06, C07, O03, PR-E06, PR-E07, PR-L02, PR-L05, PR-N01, PR-N03, PR-N04, PR-N08, S02, S07, Y05, Y07, Y08, Y12, Y13, Y14</x:v>
      </x:c>
    </x:row>
    <x:row r="113" ht="40" customHeight="1">
      <x:c r="A113" s="44" t="str">
        <x:v>Heliotropal 10%</x:v>
      </x:c>
      <x:c r="B113" s="44" t="str">
        <x:v>10% in DPG</x:v>
      </x:c>
      <x:c r="C113" s="46" t="n">
        <x:v>0.1</x:v>
      </x:c>
      <x:c r="D113" s="44" t="str">
        <x:v>Iris / violet</x:v>
      </x:c>
      <x:c r="E113" s="44" t="str">
        <x:v>PREPARED STOCK</x:v>
      </x:c>
      <x:c r="F113" s="44" t="n">
        <x:v>15</x:v>
      </x:c>
      <x:c r="G113" s="44" t="n">
        <x:v>15</x:v>
      </x:c>
      <x:c r="H113" s="44" t="str">
        <x:v>Dior, Kenny Originals, Prada, YSL</x:v>
      </x:c>
      <x:c r="I113" s="48" t="n">
        <x:v>0.971</x:v>
      </x:c>
      <x:c r="J113" s="48" t="n">
        <x:v>15.565</x:v>
      </x:c>
      <x:c r="K113" s="48" t="n">
        <x:v>17.954866666666668</x:v>
      </x:c>
      <x:c r="L113" s="48" t="n">
        <x:v>64.453</x:v>
      </x:c>
      <x:c r="M113" s="46" t="n">
        <x:v>0.000971</x:v>
      </x:c>
      <x:c r="N113" s="46" t="n">
        <x:v>0.015565</x:v>
      </x:c>
      <x:c r="O113" s="46" t="n">
        <x:v>0.06445300000000001</x:v>
      </x:c>
      <x:c r="P113" s="46" t="n">
        <x:v>0.00021361999999999998</x:v>
      </x:c>
      <x:c r="Q113" s="46" t="n">
        <x:v>0.0025509</x:v>
      </x:c>
      <x:c r="R113" s="46" t="n">
        <x:v>0.0128906</x:v>
      </x:c>
      <x:c r="S113" s="46" t="n">
        <x:v>0.000021362</x:v>
      </x:c>
      <x:c r="T113" s="46" t="n">
        <x:v>0.00025509</x:v>
      </x:c>
      <x:c r="U113" s="46" t="n">
        <x:v>0.0012890600000000003</x:v>
      </x:c>
      <x:c r="V113" s="44" t="n">
        <x:v>0</x:v>
      </x:c>
      <x:c r="W113" s="44" t="n">
        <x:v>0</x:v>
      </x:c>
      <x:c r="X113" s="44" t="str">
        <x:v>H01, H02, H04, H05, H06, H07, H08, O01, O02, O04, PR-L04, PR-N02, Y01, Y09, Y11</x:v>
      </x:c>
    </x:row>
    <x:row r="114" ht="40" customHeight="1">
      <x:c r="A114" s="44" t="str">
        <x:v>Hexyl Acetate 10%</x:v>
      </x:c>
      <x:c r="B114" s="44" t="str">
        <x:v>10% working stock</x:v>
      </x:c>
      <x:c r="C114" s="46" t="n">
        <x:v>0.1</x:v>
      </x:c>
      <x:c r="D114" s="44" t="str">
        <x:v>green_fruit</x:v>
      </x:c>
      <x:c r="E114" s="44" t="str">
        <x:v>PREPARED STOCK</x:v>
      </x:c>
      <x:c r="F114" s="44" t="n">
        <x:v>11</x:v>
      </x:c>
      <x:c r="G114" s="44" t="n">
        <x:v>11</x:v>
      </x:c>
      <x:c r="H114" s="44" t="str">
        <x:v>Amouage, Dior, YSL</x:v>
      </x:c>
      <x:c r="I114" s="48" t="n">
        <x:v>1.254</x:v>
      </x:c>
      <x:c r="J114" s="48" t="n">
        <x:v>6.949</x:v>
      </x:c>
      <x:c r="K114" s="48" t="n">
        <x:v>10.016363636363636</x:v>
      </x:c>
      <x:c r="L114" s="48" t="n">
        <x:v>26.393</x:v>
      </x:c>
      <x:c r="M114" s="46" t="n">
        <x:v>0.0012540000000000001</x:v>
      </x:c>
      <x:c r="N114" s="46" t="n">
        <x:v>0.0069489999999999994</x:v>
      </x:c>
      <x:c r="O114" s="46" t="n">
        <x:v>0.026393</x:v>
      </x:c>
      <x:c r="P114" s="46" t="n">
        <x:v>0.00028842</x:v>
      </x:c>
      <x:c r="Q114" s="46" t="n">
        <x:v>0.0010918500000000001</x:v>
      </x:c>
      <x:c r="R114" s="46" t="n">
        <x:v>0.005278600000000001</x:v>
      </x:c>
      <x:c r="S114" s="46" t="n">
        <x:v>0.000028842</x:v>
      </x:c>
      <x:c r="T114" s="46" t="n">
        <x:v>0.000109185</x:v>
      </x:c>
      <x:c r="U114" s="46" t="n">
        <x:v>0.0005278600000000001</x:v>
      </x:c>
      <x:c r="V114" s="44" t="n">
        <x:v>0</x:v>
      </x:c>
      <x:c r="W114" s="44" t="n">
        <x:v>0</x:v>
      </x:c>
      <x:c r="X114" s="44" t="str">
        <x:v>AM-E02, AM-E05, AM-E06, AM-L04, AM-N09, H05, H13, H15, Y02, Y10, Y13</x:v>
      </x:c>
    </x:row>
    <x:row r="115" ht="40" customHeight="1">
      <x:c r="A115" s="44" t="str">
        <x:v>Honey Accord 10%</x:v>
      </x:c>
      <x:c r="B115" s="44" t="str">
        <x:v>10% target-required accord</x:v>
      </x:c>
      <x:c r="C115" s="46" t="n">
        <x:v>0.1</x:v>
      </x:c>
      <x:c r="D115" s="44" t="str">
        <x:v>Sweet balsamic</x:v>
      </x:c>
      <x:c r="E115" s="44" t="str">
        <x:v>TARGET REQUIRED / INVENTORY GAP</x:v>
      </x:c>
      <x:c r="F115" s="44" t="n">
        <x:v>2</x:v>
      </x:c>
      <x:c r="G115" s="44" t="n">
        <x:v>2</x:v>
      </x:c>
      <x:c r="H115" s="44" t="str">
        <x:v>Amouage, Kenny Originals</x:v>
      </x:c>
      <x:c r="I115" s="48" t="n">
        <x:v>55.468</x:v>
      </x:c>
      <x:c r="J115" s="48" t="n">
        <x:v>106.72900000000001</x:v>
      </x:c>
      <x:c r="K115" s="48" t="n">
        <x:v>106.72900000000001</x:v>
      </x:c>
      <x:c r="L115" s="48" t="n">
        <x:v>157.99</x:v>
      </x:c>
      <x:c r="M115" s="46" t="n">
        <x:v>0.055468</x:v>
      </x:c>
      <x:c r="N115" s="46" t="n">
        <x:v>0.106729</x:v>
      </x:c>
      <x:c r="O115" s="46" t="n">
        <x:v>0.15799000000000002</x:v>
      </x:c>
      <x:c r="P115" s="46" t="n">
        <x:v>0.01220296</x:v>
      </x:c>
      <x:c r="Q115" s="46" t="n">
        <x:v>0.024270330000000003</x:v>
      </x:c>
      <x:c r="R115" s="46" t="n">
        <x:v>0.03633770000000001</x:v>
      </x:c>
      <x:c r="S115" s="46" t="n">
        <x:v>0.001220296</x:v>
      </x:c>
      <x:c r="T115" s="46" t="n">
        <x:v>0.0024270330000000003</x:v>
      </x:c>
      <x:c r="U115" s="46" t="n">
        <x:v>0.0036337700000000006</x:v>
      </x:c>
      <x:c r="V115" s="44" t="n">
        <x:v>2</x:v>
      </x:c>
      <x:c r="W115" s="44" t="n">
        <x:v>0</x:v>
      </x:c>
      <x:c r="X115" s="44" t="str">
        <x:v>AM-E05, O06</x:v>
      </x:c>
    </x:row>
    <x:row r="116" ht="40" customHeight="1">
      <x:c r="A116" s="44" t="str">
        <x:v>Hydroxycitronellal</x:v>
      </x:c>
      <x:c r="B116" s="44" t="str">
        <x:v>neat / as supplied</x:v>
      </x:c>
      <x:c r="C116" s="46" t="n">
        <x:v>1</x:v>
      </x:c>
      <x:c r="D116" s="44" t="str">
        <x:v>air_floral</x:v>
      </x:c>
      <x:c r="E116" s="44" t="str">
        <x:v>DIRECT</x:v>
      </x:c>
      <x:c r="F116" s="44" t="n">
        <x:v>85</x:v>
      </x:c>
      <x:c r="G116" s="44" t="n">
        <x:v>85</x:v>
      </x:c>
      <x:c r="H116" s="44" t="str">
        <x:v>Amouage, CHANEL, Dior, Kenny Originals, Prada, YSL</x:v>
      </x:c>
      <x:c r="I116" s="48" t="n">
        <x:v>0.238</x:v>
      </x:c>
      <x:c r="J116" s="48" t="n">
        <x:v>4.533</x:v>
      </x:c>
      <x:c r="K116" s="48" t="n">
        <x:v>8.888870588235294</x:v>
      </x:c>
      <x:c r="L116" s="48" t="n">
        <x:v>70.18</x:v>
      </x:c>
      <x:c r="M116" s="46" t="n">
        <x:v>0.00023799999999999998</x:v>
      </x:c>
      <x:c r="N116" s="46" t="n">
        <x:v>0.004533000000000001</x:v>
      </x:c>
      <x:c r="O116" s="46" t="n">
        <x:v>0.07018</x:v>
      </x:c>
      <x:c r="P116" s="46" t="n">
        <x:v>0.000059499999999999996</x:v>
      </x:c>
      <x:c r="Q116" s="46" t="n">
        <x:v>0.000931</x:v>
      </x:c>
      <x:c r="R116" s="46" t="n">
        <x:v>0.012632400000000002</x:v>
      </x:c>
      <x:c r="S116" s="46" t="n">
        <x:v>0.000059499999999999996</x:v>
      </x:c>
      <x:c r="T116" s="46" t="n">
        <x:v>0.000931</x:v>
      </x:c>
      <x:c r="U116" s="46" t="n">
        <x:v>0.012632400000000002</x:v>
      </x:c>
      <x:c r="V116" s="44" t="n">
        <x:v>0</x:v>
      </x:c>
      <x:c r="W116" s="44" t="n">
        <x:v>0</x:v>
      </x:c>
      <x:c r="X116" s="44" t="str">
        <x:v>AM-E01, AM-E02, AM-E03, AM-E04, AM-E05, AM-E06, AM-E07, AM-E08, AM-E09, AM-E10, AM-E11, AM-E12, AM-E13, AM-E14, AM-E15, AM-L01, AM-L02, AM-L03, AM-L04, AM-L05, AM-L06, AM-L07, AM-L08, AM-L09, AM-N01, AM-N02, AM-N03, AM-N04, AM-N05, AM-N06, AM-N07, AM-N08, AM-N09, AM-N10, AM-N11, AM-N12, AM-N13, AM-N14, AM-N15, AM-N16, C02, C03, C04, C05, C06, C07, C08, H01, H02, H03, H04, H05, H06, H07, H08, H09, H10, H11, H12, O01, O02, O03, O05, O06, PR-E01, PR-E02, PR-E03, PR-E04, PR-E06, PR-E07, PR-E08, PR-L01, PR-L02, PR-L03, PR-L05, PR-N01, PR-N02, PR-N04, S07, Y01, Y03, Y04, Y05, Y06, Y08</x:v>
      </x:c>
    </x:row>
    <x:row r="117" ht="40" customHeight="1">
      <x:c r="A117" s="44" t="str">
        <x:v>Immortelle Absolute 10%</x:v>
      </x:c>
      <x:c r="B117" s="44" t="str">
        <x:v>10% working stock</x:v>
      </x:c>
      <x:c r="C117" s="46" t="n">
        <x:v>0.1</x:v>
      </x:c>
      <x:c r="D117" s="44" t="str">
        <x:v>sweet_balsamic</x:v>
      </x:c>
      <x:c r="E117" s="44" t="str">
        <x:v>PREPARED STOCK</x:v>
      </x:c>
      <x:c r="F117" s="44" t="n">
        <x:v>22</x:v>
      </x:c>
      <x:c r="G117" s="44" t="n">
        <x:v>22</x:v>
      </x:c>
      <x:c r="H117" s="44" t="str">
        <x:v>Amouage, Dior, Kenny Originals, Prada</x:v>
      </x:c>
      <x:c r="I117" s="48" t="n">
        <x:v>0.254</x:v>
      </x:c>
      <x:c r="J117" s="48" t="n">
        <x:v>3.406</x:v>
      </x:c>
      <x:c r="K117" s="48" t="n">
        <x:v>4.522</x:v>
      </x:c>
      <x:c r="L117" s="48" t="n">
        <x:v>17.415</x:v>
      </x:c>
      <x:c r="M117" s="46" t="n">
        <x:v>0.000254</x:v>
      </x:c>
      <x:c r="N117" s="46" t="n">
        <x:v>0.003406</x:v>
      </x:c>
      <x:c r="O117" s="46" t="n">
        <x:v>0.017415</x:v>
      </x:c>
      <x:c r="P117" s="46" t="n">
        <x:v>0.00006371</x:v>
      </x:c>
      <x:c r="Q117" s="46" t="n">
        <x:v>0.0008878800000000001</x:v>
      </x:c>
      <x:c r="R117" s="46" t="n">
        <x:v>0.0038312999999999997</x:v>
      </x:c>
      <x:c r="S117" s="46" t="n">
        <x:v>0.0000063710000000000005</x:v>
      </x:c>
      <x:c r="T117" s="46" t="n">
        <x:v>0.000088788</x:v>
      </x:c>
      <x:c r="U117" s="46" t="n">
        <x:v>0.00038312999999999997</x:v>
      </x:c>
      <x:c r="V117" s="44" t="n">
        <x:v>0</x:v>
      </x:c>
      <x:c r="W117" s="44" t="n">
        <x:v>0</x:v>
      </x:c>
      <x:c r="X117" s="44" t="str">
        <x:v>AM-E02, AM-E03, AM-E04, AM-E05, AM-E07, AM-E08, AM-E15, AM-L02, AM-L06, AM-N05, AM-N08, AM-N11, H01, H04, H05, H07, H08, O06, PR-E02, PR-E04, S06, S08</x:v>
      </x:c>
    </x:row>
    <x:row r="118" ht="40" customHeight="1">
      <x:c r="A118" s="44" t="str">
        <x:v>Indole 10%</x:v>
      </x:c>
      <x:c r="B118" s="44" t="str">
        <x:v>10% working stock</x:v>
      </x:c>
      <x:c r="C118" s="46" t="n">
        <x:v>0.1</x:v>
      </x:c>
      <x:c r="D118" s="44" t="str">
        <x:v>air_floral</x:v>
      </x:c>
      <x:c r="E118" s="44" t="str">
        <x:v>TRACE PREMIX</x:v>
      </x:c>
      <x:c r="F118" s="44" t="n">
        <x:v>37</x:v>
      </x:c>
      <x:c r="G118" s="44" t="n">
        <x:v>37</x:v>
      </x:c>
      <x:c r="H118" s="44" t="str">
        <x:v>Amouage, CHANEL, Dior, Kenny Originals, YSL</x:v>
      </x:c>
      <x:c r="I118" s="48" t="n">
        <x:v>0.074</x:v>
      </x:c>
      <x:c r="J118" s="48" t="n">
        <x:v>0.271</x:v>
      </x:c>
      <x:c r="K118" s="48" t="n">
        <x:v>0.5382702702702703</x:v>
      </x:c>
      <x:c r="L118" s="48" t="n">
        <x:v>1.775</x:v>
      </x:c>
      <x:c r="M118" s="46" t="n">
        <x:v>0.000074</x:v>
      </x:c>
      <x:c r="N118" s="46" t="n">
        <x:v>0.00027100000000000003</x:v>
      </x:c>
      <x:c r="O118" s="46" t="n">
        <x:v>0.0017749999999999999</x:v>
      </x:c>
      <x:c r="P118" s="46" t="n">
        <x:v>0.000009119999999999999</x:v>
      </x:c>
      <x:c r="Q118" s="46" t="n">
        <x:v>0.00004319999999999999</x:v>
      </x:c>
      <x:c r="R118" s="46" t="n">
        <x:v>0.00044374999999999997</x:v>
      </x:c>
      <x:c r="S118" s="46" t="n">
        <x:v>9.119999999999999e-7</x:v>
      </x:c>
      <x:c r="T118" s="46" t="n">
        <x:v>0.000004319999999999999</x:v>
      </x:c>
      <x:c r="U118" s="46" t="n">
        <x:v>0.000044374999999999994</x:v>
      </x:c>
      <x:c r="V118" s="44" t="n">
        <x:v>0</x:v>
      </x:c>
      <x:c r="W118" s="44" t="n">
        <x:v>0</x:v>
      </x:c>
      <x:c r="X118" s="44" t="str">
        <x:v>AM-E01, AM-E09, AM-E10, AM-L08, AM-N06, AM-N12, C01, C03, C06, C07, H01, H02, H03, H04, H05, H06, H07, H10, H12, O03, O04, S04, S05, S06, S07, Y01, Y02, Y05, Y06, Y07, Y08, Y09, Y10, Y11, Y12, Y13, Y14</x:v>
      </x:c>
    </x:row>
    <x:row r="119" ht="40" customHeight="1">
      <x:c r="A119" s="44" t="str">
        <x:v>Iris FTEC</x:v>
      </x:c>
      <x:c r="B119" s="44" t="str">
        <x:v>as supplied; product basis</x:v>
      </x:c>
      <x:c r="C119" s="46"/>
      <x:c r="D119" s="44" t="str">
        <x:v>Iris / violet</x:v>
      </x:c>
      <x:c r="E119" s="44" t="str">
        <x:v>PRODUCT BASIS</x:v>
      </x:c>
      <x:c r="F119" s="44" t="n">
        <x:v>4</x:v>
      </x:c>
      <x:c r="G119" s="44" t="n">
        <x:v>4</x:v>
      </x:c>
      <x:c r="H119" s="44" t="str">
        <x:v>Prada, YSL</x:v>
      </x:c>
      <x:c r="I119" s="48" t="n">
        <x:v>1.371</x:v>
      </x:c>
      <x:c r="J119" s="48" t="n">
        <x:v>2.034</x:v>
      </x:c>
      <x:c r="K119" s="48" t="n">
        <x:v>9.431</x:v>
      </x:c>
      <x:c r="L119" s="48" t="n">
        <x:v>32.285</x:v>
      </x:c>
      <x:c r="M119" s="46" t="n">
        <x:v>0.001371</x:v>
      </x:c>
      <x:c r="N119" s="46" t="n">
        <x:v>0.002034</x:v>
      </x:c>
      <x:c r="O119" s="46" t="n">
        <x:v>0.032284999999999994</x:v>
      </x:c>
      <x:c r="P119" s="46" t="n">
        <x:v>0.00028245</x:v>
      </x:c>
      <x:c r="Q119" s="46" t="n">
        <x:v>0.00032154000000000004</x:v>
      </x:c>
      <x:c r="R119" s="46" t="n">
        <x:v>0.006456999999999999</x:v>
      </x:c>
      <x:c r="S119" s="46"/>
      <x:c r="T119" s="46"/>
      <x:c r="U119" s="46"/>
      <x:c r="V119" s="44" t="n">
        <x:v>0</x:v>
      </x:c>
      <x:c r="W119" s="44" t="n">
        <x:v>0</x:v>
      </x:c>
      <x:c r="X119" s="44" t="str">
        <x:v>PR-L04, PR-L05, PR-N04, Y11</x:v>
      </x:c>
    </x:row>
    <x:row r="120" ht="40" customHeight="1">
      <x:c r="A120" s="44" t="str">
        <x:v>Irotyl</x:v>
      </x:c>
      <x:c r="B120" s="44" t="str">
        <x:v>as supplied; product basis</x:v>
      </x:c>
      <x:c r="C120" s="46"/>
      <x:c r="D120" s="44" t="str">
        <x:v>orris_violet</x:v>
      </x:c>
      <x:c r="E120" s="44" t="str">
        <x:v>PRODUCT BASIS</x:v>
      </x:c>
      <x:c r="F120" s="44" t="n">
        <x:v>11</x:v>
      </x:c>
      <x:c r="G120" s="44" t="n">
        <x:v>11</x:v>
      </x:c>
      <x:c r="H120" s="44" t="str">
        <x:v>Dior, Kenny Originals, Prada</x:v>
      </x:c>
      <x:c r="I120" s="48" t="n">
        <x:v>0.844</x:v>
      </x:c>
      <x:c r="J120" s="48" t="n">
        <x:v>4.869</x:v>
      </x:c>
      <x:c r="K120" s="48" t="n">
        <x:v>7.3808181818181815</x:v>
      </x:c>
      <x:c r="L120" s="48" t="n">
        <x:v>28.638</x:v>
      </x:c>
      <x:c r="M120" s="46" t="n">
        <x:v>0.000844</x:v>
      </x:c>
      <x:c r="N120" s="46" t="n">
        <x:v>0.004869</x:v>
      </x:c>
      <x:c r="O120" s="46" t="n">
        <x:v>0.028638000000000004</x:v>
      </x:c>
      <x:c r="P120" s="46" t="n">
        <x:v>0.000211</x:v>
      </x:c>
      <x:c r="Q120" s="46" t="n">
        <x:v>0.0007841999999999999</x:v>
      </x:c>
      <x:c r="R120" s="46" t="n">
        <x:v>0.007159500000000001</x:v>
      </x:c>
      <x:c r="S120" s="46"/>
      <x:c r="T120" s="46"/>
      <x:c r="U120" s="46"/>
      <x:c r="V120" s="44" t="n">
        <x:v>0</x:v>
      </x:c>
      <x:c r="W120" s="44" t="n">
        <x:v>0</x:v>
      </x:c>
      <x:c r="X120" s="44" t="str">
        <x:v>H01, H02, H04, H05, H06, H07, H08, O01, O02, O04, PR-E02</x:v>
      </x:c>
    </x:row>
    <x:row r="121" ht="40" customHeight="1">
      <x:c r="A121" s="44" t="str">
        <x:v>Iso E Super</x:v>
      </x:c>
      <x:c r="B121" s="44" t="str">
        <x:v>neat / as supplied</x:v>
      </x:c>
      <x:c r="C121" s="46" t="n">
        <x:v>1</x:v>
      </x:c>
      <x:c r="D121" s="44" t="str">
        <x:v>woods_amber</x:v>
      </x:c>
      <x:c r="E121" s="44" t="str">
        <x:v>DIRECT</x:v>
      </x:c>
      <x:c r="F121" s="44" t="n">
        <x:v>118</x:v>
      </x:c>
      <x:c r="G121" s="44" t="n">
        <x:v>118</x:v>
      </x:c>
      <x:c r="H121" s="44" t="str">
        <x:v>Amouage, CHANEL, Dior, Kenny Originals, Prada, YSL</x:v>
      </x:c>
      <x:c r="I121" s="48" t="n">
        <x:v>3.979</x:v>
      </x:c>
      <x:c r="J121" s="48" t="n">
        <x:v>45.811499999999995</x:v>
      </x:c>
      <x:c r="K121" s="48" t="n">
        <x:v>50.124983050847455</x:v>
      </x:c>
      <x:c r="L121" s="48" t="n">
        <x:v>133.272</x:v>
      </x:c>
      <x:c r="M121" s="46" t="n">
        <x:v>0.003979</x:v>
      </x:c>
      <x:c r="N121" s="46" t="n">
        <x:v>0.0458115</x:v>
      </x:c>
      <x:c r="O121" s="46" t="n">
        <x:v>0.133272</x:v>
      </x:c>
      <x:c r="P121" s="46" t="n">
        <x:v>0.00099475</x:v>
      </x:c>
      <x:c r="Q121" s="46" t="n">
        <x:v>0.00867165</x:v>
      </x:c>
      <x:c r="R121" s="46" t="n">
        <x:v>0.0333732</x:v>
      </x:c>
      <x:c r="S121" s="46" t="n">
        <x:v>0.00099475</x:v>
      </x:c>
      <x:c r="T121" s="46" t="n">
        <x:v>0.00867165</x:v>
      </x:c>
      <x:c r="U121" s="46" t="n">
        <x:v>0.0333732</x:v>
      </x:c>
      <x:c r="V121" s="44" t="n">
        <x:v>0</x:v>
      </x:c>
      <x:c r="W121" s="44" t="n">
        <x:v>0</x:v>
      </x:c>
      <x:c r="X121"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PR-E03, PR-E04, PR-E05, PR-E06, PR-E07, PR-E08, PR-E09, PR-L01, PR-L02, PR-L03, PR-L04, PR-L05, PR-N01, PR-N02, PR-N03, PR-N04, PR-N05, PR-N06, PR-N07, PR-N08, PR-N09, PR-N10, PR-N12, PR-N13, S01, S02, S03, S04, S05, S06, S07, S08, Y01, Y02, Y03, Y04, Y05, Y06, Y07, Y08, Y09, Y10, Y11, Y12, Y13, Y14</x:v>
      </x:c>
    </x:row>
    <x:row r="122" ht="40" customHeight="1">
      <x:c r="A122" s="44" t="str">
        <x:v>Isoeugenol 10%</x:v>
      </x:c>
      <x:c r="B122" s="44" t="str">
        <x:v>10% working dilution</x:v>
      </x:c>
      <x:c r="C122" s="46" t="n">
        <x:v>0.1</x:v>
      </x:c>
      <x:c r="D122" s="44" t="str">
        <x:v>Spice</x:v>
      </x:c>
      <x:c r="E122" s="44" t="str">
        <x:v>PREPARED STOCK</x:v>
      </x:c>
      <x:c r="F122" s="44" t="n">
        <x:v>22</x:v>
      </x:c>
      <x:c r="G122" s="44" t="n">
        <x:v>22</x:v>
      </x:c>
      <x:c r="H122" s="44" t="str">
        <x:v>Amouage, Prada</x:v>
      </x:c>
      <x:c r="I122" s="48" t="n">
        <x:v>0.132</x:v>
      </x:c>
      <x:c r="J122" s="48" t="n">
        <x:v>2.81</x:v>
      </x:c>
      <x:c r="K122" s="48" t="n">
        <x:v>3.2762272727272728</x:v>
      </x:c>
      <x:c r="L122" s="48" t="n">
        <x:v>22.327</x:v>
      </x:c>
      <x:c r="M122" s="46" t="n">
        <x:v>0.000132</x:v>
      </x:c>
      <x:c r="N122" s="46" t="n">
        <x:v>0.0028100000000000004</x:v>
      </x:c>
      <x:c r="O122" s="46" t="n">
        <x:v>0.022327000000000003</x:v>
      </x:c>
      <x:c r="P122" s="46" t="n">
        <x:v>0.0000198</x:v>
      </x:c>
      <x:c r="Q122" s="46" t="n">
        <x:v>0.00070969</x:v>
      </x:c>
      <x:c r="R122" s="46" t="n">
        <x:v>0.005581750000000001</x:v>
      </x:c>
      <x:c r="S122" s="46" t="n">
        <x:v>0.00000198</x:v>
      </x:c>
      <x:c r="T122" s="46" t="n">
        <x:v>0.00007096900000000002</x:v>
      </x:c>
      <x:c r="U122" s="46" t="n">
        <x:v>0.0005581750000000002</x:v>
      </x:c>
      <x:c r="V122" s="44" t="n">
        <x:v>0</x:v>
      </x:c>
      <x:c r="W122" s="44" t="n">
        <x:v>0</x:v>
      </x:c>
      <x:c r="X122" s="44" t="str">
        <x:v>AM-E02, AM-E03, AM-E04, AM-E07, AM-E11, AM-E12, AM-E13, AM-L01, AM-L06, AM-L08, AM-N03, AM-N07, AM-N10, AM-N13, AM-N14, AM-N15, AM-N16, PR-N08, PR-N09, PR-N10, PR-N11, PR-N13</x:v>
      </x:c>
    </x:row>
    <x:row r="123" ht="40" customHeight="1">
      <x:c r="A123" s="44" t="str">
        <x:v>Ivy Green Accord 10%</x:v>
      </x:c>
      <x:c r="B123" s="44" t="str">
        <x:v>10% target-required accord</x:v>
      </x:c>
      <x:c r="C123" s="46" t="n">
        <x:v>0.1</x:v>
      </x:c>
      <x:c r="D123" s="44" t="str">
        <x:v>Green fruit</x:v>
      </x:c>
      <x:c r="E123" s="44" t="str">
        <x:v>TARGET REQUIRED / INVENTORY GAP</x:v>
      </x:c>
      <x:c r="F123" s="44" t="n">
        <x:v>1</x:v>
      </x:c>
      <x:c r="G123" s="44" t="n">
        <x:v>1</x:v>
      </x:c>
      <x:c r="H123" s="44" t="str">
        <x:v>Amouage</x:v>
      </x:c>
      <x:c r="I123" s="48" t="n">
        <x:v>25.003</x:v>
      </x:c>
      <x:c r="J123" s="48" t="n">
        <x:v>25.003</x:v>
      </x:c>
      <x:c r="K123" s="48" t="n">
        <x:v>25.003</x:v>
      </x:c>
      <x:c r="L123" s="48" t="n">
        <x:v>25.003</x:v>
      </x:c>
      <x:c r="M123" s="46" t="n">
        <x:v>0.025003</x:v>
      </x:c>
      <x:c r="N123" s="46" t="n">
        <x:v>0.025003</x:v>
      </x:c>
      <x:c r="O123" s="46" t="n">
        <x:v>0.025003</x:v>
      </x:c>
      <x:c r="P123" s="46" t="n">
        <x:v>0.00625075</x:v>
      </x:c>
      <x:c r="Q123" s="46" t="n">
        <x:v>0.00625075</x:v>
      </x:c>
      <x:c r="R123" s="46" t="n">
        <x:v>0.00625075</x:v>
      </x:c>
      <x:c r="S123" s="46" t="n">
        <x:v>0.0006250750000000001</x:v>
      </x:c>
      <x:c r="T123" s="46" t="n">
        <x:v>0.0006250750000000001</x:v>
      </x:c>
      <x:c r="U123" s="46" t="n">
        <x:v>0.0006250750000000001</x:v>
      </x:c>
      <x:c r="V123" s="44" t="n">
        <x:v>1</x:v>
      </x:c>
      <x:c r="W123" s="44" t="n">
        <x:v>0</x:v>
      </x:c>
      <x:c r="X123" s="44" t="str">
        <x:v>AM-L05</x:v>
      </x:c>
    </x:row>
    <x:row r="124" ht="40" customHeight="1">
      <x:c r="A124" s="44" t="str">
        <x:v>Jasmine Absolute 10%</x:v>
      </x:c>
      <x:c r="B124" s="44" t="str">
        <x:v>10% working stock</x:v>
      </x:c>
      <x:c r="C124" s="46" t="n">
        <x:v>0.1</x:v>
      </x:c>
      <x:c r="D124" s="44" t="str">
        <x:v>air_floral</x:v>
      </x:c>
      <x:c r="E124" s="44" t="str">
        <x:v>TRACE PREMIX</x:v>
      </x:c>
      <x:c r="F124" s="44" t="n">
        <x:v>32</x:v>
      </x:c>
      <x:c r="G124" s="44" t="n">
        <x:v>32</x:v>
      </x:c>
      <x:c r="H124" s="44" t="str">
        <x:v>CHANEL, Dior, Kenny Originals, YSL</x:v>
      </x:c>
      <x:c r="I124" s="48" t="n">
        <x:v>0.078</x:v>
      </x:c>
      <x:c r="J124" s="48" t="n">
        <x:v>0.45899999999999996</x:v>
      </x:c>
      <x:c r="K124" s="48" t="n">
        <x:v>1.85875</x:v>
      </x:c>
      <x:c r="L124" s="48" t="n">
        <x:v>8.231</x:v>
      </x:c>
      <x:c r="M124" s="46" t="n">
        <x:v>0.000078</x:v>
      </x:c>
      <x:c r="N124" s="46" t="n">
        <x:v>0.000459</x:v>
      </x:c>
      <x:c r="O124" s="46" t="n">
        <x:v>0.008230999999999999</x:v>
      </x:c>
      <x:c r="P124" s="46" t="n">
        <x:v>0.00001044</x:v>
      </x:c>
      <x:c r="Q124" s="46" t="n">
        <x:v>0.00008965999999999998</x:v>
      </x:c>
      <x:c r="R124" s="46" t="n">
        <x:v>0.00146075</x:v>
      </x:c>
      <x:c r="S124" s="46" t="n">
        <x:v>0.000001044</x:v>
      </x:c>
      <x:c r="T124" s="46" t="n">
        <x:v>0.000008966</x:v>
      </x:c>
      <x:c r="U124" s="46" t="n">
        <x:v>0.000146075</x:v>
      </x:c>
      <x:c r="V124" s="44" t="n">
        <x:v>0</x:v>
      </x:c>
      <x:c r="W124" s="44" t="n">
        <x:v>0</x:v>
      </x:c>
      <x:c r="X124" s="44" t="str">
        <x:v>C01, C02, C03, C06, H01, H02, H03, H04, H05, H06, H07, H10, H11, H12, O01, O02, O03, O04, O05, S07, Y02, Y03, Y04, Y05, Y06, Y07, Y09, Y10, Y11, Y12, Y13, Y14</x:v>
      </x:c>
    </x:row>
    <x:row r="125" ht="40" customHeight="1">
      <x:c r="A125" s="44" t="str">
        <x:v>Jasmine Absolute 10% TR</x:v>
      </x:c>
      <x:c r="B125" s="44" t="str">
        <x:v>10% target-required working dilution</x:v>
      </x:c>
      <x:c r="C125" s="46" t="n">
        <x:v>0.1</x:v>
      </x:c>
      <x:c r="D125" s="44" t="str">
        <x:v>Air floral</x:v>
      </x:c>
      <x:c r="E125" s="44" t="str">
        <x:v>TARGET REQUIRED / INVENTORY GAP</x:v>
      </x:c>
      <x:c r="F125" s="44" t="n">
        <x:v>2</x:v>
      </x:c>
      <x:c r="G125" s="44" t="n">
        <x:v>2</x:v>
      </x:c>
      <x:c r="H125" s="44" t="str">
        <x:v>Amouage</x:v>
      </x:c>
      <x:c r="I125" s="48" t="n">
        <x:v>18.813</x:v>
      </x:c>
      <x:c r="J125" s="48" t="n">
        <x:v>21.5935</x:v>
      </x:c>
      <x:c r="K125" s="48" t="n">
        <x:v>21.5935</x:v>
      </x:c>
      <x:c r="L125" s="48" t="n">
        <x:v>24.374</x:v>
      </x:c>
      <x:c r="M125" s="46" t="n">
        <x:v>0.018813</x:v>
      </x:c>
      <x:c r="N125" s="46" t="n">
        <x:v>0.021593499999999998</x:v>
      </x:c>
      <x:c r="O125" s="46" t="n">
        <x:v>0.024373999999999996</x:v>
      </x:c>
      <x:c r="P125" s="46" t="n">
        <x:v>0.0037625999999999996</x:v>
      </x:c>
      <x:c r="Q125" s="46" t="n">
        <x:v>0.0046843100000000006</x:v>
      </x:c>
      <x:c r="R125" s="46" t="n">
        <x:v>0.005606020000000001</x:v>
      </x:c>
      <x:c r="S125" s="46" t="n">
        <x:v>0.00037626</x:v>
      </x:c>
      <x:c r="T125" s="46" t="n">
        <x:v>0.000468431</x:v>
      </x:c>
      <x:c r="U125" s="46" t="n">
        <x:v>0.000560602</x:v>
      </x:c>
      <x:c r="V125" s="44" t="n">
        <x:v>2</x:v>
      </x:c>
      <x:c r="W125" s="44" t="n">
        <x:v>0</x:v>
      </x:c>
      <x:c r="X125" s="44" t="str">
        <x:v>AM-E05, AM-N05</x:v>
      </x:c>
    </x:row>
    <x:row r="126" ht="40" customHeight="1">
      <x:c r="A126" s="44" t="str">
        <x:v>Jasmine Sambac Absolute 10%</x:v>
      </x:c>
      <x:c r="B126" s="44" t="str">
        <x:v>10% working stock</x:v>
      </x:c>
      <x:c r="C126" s="46" t="n">
        <x:v>0.1</x:v>
      </x:c>
      <x:c r="D126" s="44" t="str">
        <x:v>air_floral</x:v>
      </x:c>
      <x:c r="E126" s="44" t="str">
        <x:v>TRACE PREMIX</x:v>
      </x:c>
      <x:c r="F126" s="44" t="n">
        <x:v>35</x:v>
      </x:c>
      <x:c r="G126" s="44" t="n">
        <x:v>35</x:v>
      </x:c>
      <x:c r="H126" s="44" t="str">
        <x:v>CHANEL, Dior, Kenny Originals, YSL</x:v>
      </x:c>
      <x:c r="I126" s="48" t="n">
        <x:v>0.035</x:v>
      </x:c>
      <x:c r="J126" s="48" t="n">
        <x:v>0.329</x:v>
      </x:c>
      <x:c r="K126" s="48" t="n">
        <x:v>1.7996571428571428</x:v>
      </x:c>
      <x:c r="L126" s="48" t="n">
        <x:v>12.965</x:v>
      </x:c>
      <x:c r="M126" s="46" t="n">
        <x:v>0.000035000000000000004</x:v>
      </x:c>
      <x:c r="N126" s="46" t="n">
        <x:v>0.000329</x:v>
      </x:c>
      <x:c r="O126" s="46" t="n">
        <x:v>0.012964999999999999</x:v>
      </x:c>
      <x:c r="P126" s="46" t="n">
        <x:v>0.00000564</x:v>
      </x:c>
      <x:c r="Q126" s="46" t="n">
        <x:v>0.00006580000000000001</x:v>
      </x:c>
      <x:c r="R126" s="46" t="n">
        <x:v>0.0028523</x:v>
      </x:c>
      <x:c r="S126" s="46" t="n">
        <x:v>5.640000000000001e-7</x:v>
      </x:c>
      <x:c r="T126" s="46" t="n">
        <x:v>0.000006580000000000001</x:v>
      </x:c>
      <x:c r="U126" s="46" t="n">
        <x:v>0.00028523</x:v>
      </x:c>
      <x:c r="V126" s="44" t="n">
        <x:v>0</x:v>
      </x:c>
      <x:c r="W126" s="44" t="n">
        <x:v>0</x:v>
      </x:c>
      <x:c r="X126" s="44" t="str">
        <x:v>C01, C02, C03, C06, C07, H01, H02, H03, H04, H05, H06, H07, H10, H11, H12, O01, O02, O03, O04, O05, O06, S07, Y01, Y02, Y03, Y04, Y06, Y07, Y08, Y09, Y10, Y11, Y12, Y13, Y14</x:v>
      </x:c>
    </x:row>
    <x:row r="127" ht="40" customHeight="1">
      <x:c r="A127" s="44" t="str">
        <x:v>Jasmonyl</x:v>
      </x:c>
      <x:c r="B127" s="44" t="str">
        <x:v>as supplied</x:v>
      </x:c>
      <x:c r="C127" s="46" t="n">
        <x:v>1</x:v>
      </x:c>
      <x:c r="D127" s="44" t="str">
        <x:v>Floral air</x:v>
      </x:c>
      <x:c r="E127" s="44" t="str">
        <x:v>DIRECT</x:v>
      </x:c>
      <x:c r="F127" s="44" t="n">
        <x:v>38</x:v>
      </x:c>
      <x:c r="G127" s="44" t="n">
        <x:v>38</x:v>
      </x:c>
      <x:c r="H127" s="44" t="str">
        <x:v>Amouage, CHANEL, Prada</x:v>
      </x:c>
      <x:c r="I127" s="48" t="n">
        <x:v>0.061</x:v>
      </x:c>
      <x:c r="J127" s="48" t="n">
        <x:v>0.6779999999999999</x:v>
      </x:c>
      <x:c r="K127" s="48" t="n">
        <x:v>2.3801315789473683</x:v>
      </x:c>
      <x:c r="L127" s="48" t="n">
        <x:v>17.966</x:v>
      </x:c>
      <x:c r="M127" s="46" t="n">
        <x:v>0.00006099999999999999</x:v>
      </x:c>
      <x:c r="N127" s="46" t="n">
        <x:v>0.000678</x:v>
      </x:c>
      <x:c r="O127" s="46" t="n">
        <x:v>0.017966000000000003</x:v>
      </x:c>
      <x:c r="P127" s="46" t="n">
        <x:v>0.00001769</x:v>
      </x:c>
      <x:c r="Q127" s="46" t="n">
        <x:v>0.0001712</x:v>
      </x:c>
      <x:c r="R127" s="46" t="n">
        <x:v>0.004491500000000001</x:v>
      </x:c>
      <x:c r="S127" s="46" t="n">
        <x:v>0.00001769</x:v>
      </x:c>
      <x:c r="T127" s="46" t="n">
        <x:v>0.0001712</x:v>
      </x:c>
      <x:c r="U127" s="46" t="n">
        <x:v>0.004491500000000001</x:v>
      </x:c>
      <x:c r="V127" s="44" t="n">
        <x:v>0</x:v>
      </x:c>
      <x:c r="W127" s="44" t="n">
        <x:v>0</x:v>
      </x:c>
      <x:c r="X127" s="44" t="str">
        <x:v>AM-E01, AM-E02, AM-E03, AM-E04, AM-E05, AM-E06, AM-E07, AM-E08, AM-E09, AM-E10, AM-E13, AM-E14, AM-E15, AM-L01, AM-L02, AM-L03, AM-L04, AM-L06, AM-L08, AM-L09, AM-N01, AM-N02, AM-N04, AM-N05, AM-N06, AM-N07, AM-N08, AM-N09, AM-N11, AM-N12, AM-N13, AM-N15, AM-N16, C07, PR-E01, PR-L03, PR-L05, PR-N04</x:v>
      </x:c>
    </x:row>
    <x:row r="128" ht="40" customHeight="1">
      <x:c r="A128" s="44" t="str">
        <x:v>Javanol</x:v>
      </x:c>
      <x:c r="B128" s="44" t="str">
        <x:v>neat / as supplied</x:v>
      </x:c>
      <x:c r="C128" s="46" t="n">
        <x:v>1</x:v>
      </x:c>
      <x:c r="D128" s="44" t="str">
        <x:v>Woods / amber</x:v>
      </x:c>
      <x:c r="E128" s="44" t="str">
        <x:v>DIRECT</x:v>
      </x:c>
      <x:c r="F128" s="44" t="n">
        <x:v>53</x:v>
      </x:c>
      <x:c r="G128" s="44" t="n">
        <x:v>53</x:v>
      </x:c>
      <x:c r="H128" s="44" t="str">
        <x:v>Amouage, CHANEL, Dior, Prada</x:v>
      </x:c>
      <x:c r="I128" s="48" t="n">
        <x:v>0.11</x:v>
      </x:c>
      <x:c r="J128" s="48" t="n">
        <x:v>0.851</x:v>
      </x:c>
      <x:c r="K128" s="48" t="n">
        <x:v>1.637754716981132</x:v>
      </x:c>
      <x:c r="L128" s="48" t="n">
        <x:v>9.686</x:v>
      </x:c>
      <x:c r="M128" s="46" t="n">
        <x:v>0.00010999999999999999</x:v>
      </x:c>
      <x:c r="N128" s="46" t="n">
        <x:v>0.000851</x:v>
      </x:c>
      <x:c r="O128" s="46" t="n">
        <x:v>0.009686</x:v>
      </x:c>
      <x:c r="P128" s="46" t="n">
        <x:v>0.000027499999999999998</x:v>
      </x:c>
      <x:c r="Q128" s="46" t="n">
        <x:v>0.00020200000000000003</x:v>
      </x:c>
      <x:c r="R128" s="46" t="n">
        <x:v>0.0018467999999999998</x:v>
      </x:c>
      <x:c r="S128" s="46" t="n">
        <x:v>0.000027499999999999998</x:v>
      </x:c>
      <x:c r="T128" s="46" t="n">
        <x:v>0.00020200000000000003</x:v>
      </x:c>
      <x:c r="U128" s="46" t="n">
        <x:v>0.0018467999999999998</x:v>
      </x:c>
      <x:c r="V128" s="44" t="n">
        <x:v>0</x:v>
      </x:c>
      <x:c r="W128" s="44" t="n">
        <x:v>0</x:v>
      </x:c>
      <x:c r="X128" s="44" t="str">
        <x:v>AM-E01, AM-E02, AM-E03, AM-E04, AM-E06, AM-E07, AM-E08, AM-E09, AM-E10, AM-E11, AM-E12, AM-E13, AM-E14, AM-E15, AM-E16, AM-L01, AM-L02, AM-L03, AM-L04, AM-L05, AM-L06, AM-L07, AM-L08, AM-L09, AM-N01, AM-N02, AM-N03, AM-N04, AM-N05, AM-N06, AM-N07, AM-N08, AM-N09, AM-N10, AM-N11, AM-N12, AM-N13, AM-N14, AM-N15, AM-N16, C01, C05, C07, C08, H06, H13, PR-E02, PR-L05, PR-N04, PR-N12, PR-N14, S05, S06</x:v>
      </x:c>
    </x:row>
    <x:row r="129" ht="40" customHeight="1">
      <x:c r="A129" s="44" t="str">
        <x:v>Jessemal</x:v>
      </x:c>
      <x:c r="B129" s="44" t="str">
        <x:v>as supplied</x:v>
      </x:c>
      <x:c r="C129" s="46" t="n">
        <x:v>1</x:v>
      </x:c>
      <x:c r="D129" s="44" t="str">
        <x:v>Floral air</x:v>
      </x:c>
      <x:c r="E129" s="44" t="str">
        <x:v>DIRECT</x:v>
      </x:c>
      <x:c r="F129" s="44" t="n">
        <x:v>32</x:v>
      </x:c>
      <x:c r="G129" s="44" t="n">
        <x:v>32</x:v>
      </x:c>
      <x:c r="H129" s="44" t="str">
        <x:v>Amouage, CHANEL, Prada, YSL</x:v>
      </x:c>
      <x:c r="I129" s="48" t="n">
        <x:v>0.046</x:v>
      </x:c>
      <x:c r="J129" s="48" t="n">
        <x:v>0.546</x:v>
      </x:c>
      <x:c r="K129" s="48" t="n">
        <x:v>1.8351250000000001</x:v>
      </x:c>
      <x:c r="L129" s="48" t="n">
        <x:v>13.476</x:v>
      </x:c>
      <x:c r="M129" s="46" t="n">
        <x:v>0.000046</x:v>
      </x:c>
      <x:c r="N129" s="46" t="n">
        <x:v>0.000546</x:v>
      </x:c>
      <x:c r="O129" s="46" t="n">
        <x:v>0.013476000000000002</x:v>
      </x:c>
      <x:c r="P129" s="46" t="n">
        <x:v>0.00001334</x:v>
      </x:c>
      <x:c r="Q129" s="46" t="n">
        <x:v>0.00016997500000000003</x:v>
      </x:c>
      <x:c r="R129" s="46" t="n">
        <x:v>0.0033690000000000005</x:v>
      </x:c>
      <x:c r="S129" s="46" t="n">
        <x:v>0.00001334</x:v>
      </x:c>
      <x:c r="T129" s="46" t="n">
        <x:v>0.00016997500000000003</x:v>
      </x:c>
      <x:c r="U129" s="46" t="n">
        <x:v>0.0033690000000000005</x:v>
      </x:c>
      <x:c r="V129" s="44" t="n">
        <x:v>0</x:v>
      </x:c>
      <x:c r="W129" s="44" t="n">
        <x:v>0</x:v>
      </x:c>
      <x:c r="X129" s="44" t="str">
        <x:v>AM-E01, AM-E02, AM-E03, AM-E04, AM-E05, AM-E06, AM-E07, AM-E08, AM-E09, AM-E10, AM-E14, AM-E15, AM-L03, AM-L04, AM-L06, AM-L08, AM-N01, AM-N04, AM-N05, AM-N06, AM-N08, AM-N09, AM-N12, AM-N13, AM-N15, AM-N16, C07, C08, PR-E01, PR-N04, Y01, Y08</x:v>
      </x:c>
    </x:row>
    <x:row r="130" ht="40" customHeight="1">
      <x:c r="A130" s="44" t="str">
        <x:v>Juniper Berry EO</x:v>
      </x:c>
      <x:c r="B130" s="44" t="str">
        <x:v>target-required authentic material</x:v>
      </x:c>
      <x:c r="C130" s="46" t="n">
        <x:v>1</x:v>
      </x:c>
      <x:c r="D130" s="44" t="str">
        <x:v>Aromatic top</x:v>
      </x:c>
      <x:c r="E130" s="44" t="str">
        <x:v>TARGET REQUIRED / INVENTORY GAP</x:v>
      </x:c>
      <x:c r="F130" s="44" t="n">
        <x:v>5</x:v>
      </x:c>
      <x:c r="G130" s="44" t="n">
        <x:v>5</x:v>
      </x:c>
      <x:c r="H130" s="44" t="str">
        <x:v>Amouage, Prada</x:v>
      </x:c>
      <x:c r="I130" s="48" t="n">
        <x:v>4.665</x:v>
      </x:c>
      <x:c r="J130" s="48" t="n">
        <x:v>8.05</x:v>
      </x:c>
      <x:c r="K130" s="48" t="n">
        <x:v>9.3752</x:v>
      </x:c>
      <x:c r="L130" s="48" t="n">
        <x:v>19.053</x:v>
      </x:c>
      <x:c r="M130" s="46" t="n">
        <x:v>0.004665</x:v>
      </x:c>
      <x:c r="N130" s="46" t="n">
        <x:v>0.00805</x:v>
      </x:c>
      <x:c r="O130" s="46" t="n">
        <x:v>0.019053</x:v>
      </x:c>
      <x:c r="P130" s="46" t="n">
        <x:v>0.00079305</x:v>
      </x:c>
      <x:c r="Q130" s="46" t="n">
        <x:v>0.0020125</x:v>
      </x:c>
      <x:c r="R130" s="46" t="n">
        <x:v>0.003810600000000001</x:v>
      </x:c>
      <x:c r="S130" s="46" t="n">
        <x:v>0.00079305</x:v>
      </x:c>
      <x:c r="T130" s="46" t="n">
        <x:v>0.0020125</x:v>
      </x:c>
      <x:c r="U130" s="46" t="n">
        <x:v>0.003810600000000001</x:v>
      </x:c>
      <x:c r="V130" s="44" t="n">
        <x:v>5</x:v>
      </x:c>
      <x:c r="W130" s="44" t="n">
        <x:v>0</x:v>
      </x:c>
      <x:c r="X130" s="44" t="str">
        <x:v>AM-N03, AM-N10, AM-N14, PR-N01, PR-N02</x:v>
      </x:c>
    </x:row>
    <x:row r="131" ht="40" customHeight="1">
      <x:c r="A131" s="44" t="str">
        <x:v>Kephalis</x:v>
      </x:c>
      <x:c r="B131" s="44" t="str">
        <x:v>neat / as supplied</x:v>
      </x:c>
      <x:c r="C131" s="46" t="n">
        <x:v>1</x:v>
      </x:c>
      <x:c r="D131" s="44" t="str">
        <x:v>woods_amber</x:v>
      </x:c>
      <x:c r="E131" s="44" t="str">
        <x:v>DIRECT</x:v>
      </x:c>
      <x:c r="F131" s="44" t="n">
        <x:v>56</x:v>
      </x:c>
      <x:c r="G131" s="44" t="n">
        <x:v>56</x:v>
      </x:c>
      <x:c r="H131" s="44" t="str">
        <x:v>Amouage, CHANEL, Prada, YSL</x:v>
      </x:c>
      <x:c r="I131" s="48" t="n">
        <x:v>2.28</x:v>
      </x:c>
      <x:c r="J131" s="48" t="n">
        <x:v>20.7905</x:v>
      </x:c>
      <x:c r="K131" s="48" t="n">
        <x:v>21.707857142857144</x:v>
      </x:c>
      <x:c r="L131" s="48" t="n">
        <x:v>65.827</x:v>
      </x:c>
      <x:c r="M131" s="46" t="n">
        <x:v>0.00228</x:v>
      </x:c>
      <x:c r="N131" s="46" t="n">
        <x:v>0.0207905</x:v>
      </x:c>
      <x:c r="O131" s="46" t="n">
        <x:v>0.065827</x:v>
      </x:c>
      <x:c r="P131" s="46" t="n">
        <x:v>0.00057</x:v>
      </x:c>
      <x:c r="Q131" s="46" t="n">
        <x:v>0.005595140000000001</x:v>
      </x:c>
      <x:c r="R131" s="46" t="n">
        <x:v>0.01448194</x:v>
      </x:c>
      <x:c r="S131" s="46" t="n">
        <x:v>0.00057</x:v>
      </x:c>
      <x:c r="T131" s="46" t="n">
        <x:v>0.005595140000000001</x:v>
      </x:c>
      <x:c r="U131" s="46" t="n">
        <x:v>0.01448194</x:v>
      </x:c>
      <x:c r="V131" s="44" t="n">
        <x:v>0</x:v>
      </x:c>
      <x:c r="W131" s="44" t="n">
        <x:v>0</x:v>
      </x:c>
      <x:c r="X131" s="44" t="str">
        <x:v>AM-E01, AM-E02, AM-E03, AM-E04, AM-E05, AM-E06, AM-E07, AM-E08, AM-E09, AM-E10, AM-E11, AM-E12, AM-E13, AM-E14, AM-E15, AM-E16, AM-L01, AM-L02, AM-L03, AM-L04, AM-L05, AM-L06, AM-L07, AM-L08, AM-L09, AM-N01, AM-N02, AM-N03, AM-N04, AM-N05, AM-N06, AM-N07, AM-N08, AM-N09, AM-N10, AM-N11, AM-N12, AM-N13, AM-N14, AM-N15, AM-N16, C07, C08, PR-E02, PR-E04, PR-E07, PR-E08, PR-L01, PR-N01, PR-N05, PR-N06, PR-N07, PR-N09, PR-N14, Y03, Y10</x:v>
      </x:c>
    </x:row>
    <x:row r="132" ht="40" customHeight="1">
      <x:c r="A132" s="44" t="str">
        <x:v>Koavone</x:v>
      </x:c>
      <x:c r="B132" s="44" t="str">
        <x:v>neat</x:v>
      </x:c>
      <x:c r="C132" s="46" t="n">
        <x:v>1</x:v>
      </x:c>
      <x:c r="D132" s="44" t="str">
        <x:v>Iris / violet</x:v>
      </x:c>
      <x:c r="E132" s="44" t="str">
        <x:v>DIRECT</x:v>
      </x:c>
      <x:c r="F132" s="44" t="n">
        <x:v>5</x:v>
      </x:c>
      <x:c r="G132" s="44" t="n">
        <x:v>5</x:v>
      </x:c>
      <x:c r="H132" s="44" t="str">
        <x:v>Prada, YSL</x:v>
      </x:c>
      <x:c r="I132" s="48" t="n">
        <x:v>0.686</x:v>
      </x:c>
      <x:c r="J132" s="48" t="n">
        <x:v>1.38</x:v>
      </x:c>
      <x:c r="K132" s="48" t="n">
        <x:v>5.9338</x:v>
      </x:c>
      <x:c r="L132" s="48" t="n">
        <x:v>24.113</x:v>
      </x:c>
      <x:c r="M132" s="46" t="n">
        <x:v>0.0006860000000000001</x:v>
      </x:c>
      <x:c r="N132" s="46" t="n">
        <x:v>0.00138</x:v>
      </x:c>
      <x:c r="O132" s="46" t="n">
        <x:v>0.024113</x:v>
      </x:c>
      <x:c r="P132" s="46" t="n">
        <x:v>0.00014115</x:v>
      </x:c>
      <x:c r="Q132" s="46" t="n">
        <x:v>0.000207</x:v>
      </x:c>
      <x:c r="R132" s="46" t="n">
        <x:v>0.0048226</x:v>
      </x:c>
      <x:c r="S132" s="46" t="n">
        <x:v>0.00014115</x:v>
      </x:c>
      <x:c r="T132" s="46" t="n">
        <x:v>0.000207</x:v>
      </x:c>
      <x:c r="U132" s="46" t="n">
        <x:v>0.0048226</x:v>
      </x:c>
      <x:c r="V132" s="44" t="n">
        <x:v>0</x:v>
      </x:c>
      <x:c r="W132" s="44" t="n">
        <x:v>0</x:v>
      </x:c>
      <x:c r="X132" s="44" t="str">
        <x:v>PR-L04, PR-L05, PR-N04, Y01, Y11</x:v>
      </x:c>
    </x:row>
    <x:row r="133" ht="40" customHeight="1">
      <x:c r="A133" s="44" t="str">
        <x:v>Labdanum 10%</x:v>
      </x:c>
      <x:c r="B133" s="44" t="str">
        <x:v>10% working stock</x:v>
      </x:c>
      <x:c r="C133" s="46" t="n">
        <x:v>0.1</x:v>
      </x:c>
      <x:c r="D133" s="44" t="str">
        <x:v>resin_incense</x:v>
      </x:c>
      <x:c r="E133" s="44" t="str">
        <x:v>PREPARED STOCK</x:v>
      </x:c>
      <x:c r="F133" s="44" t="n">
        <x:v>74</x:v>
      </x:c>
      <x:c r="G133" s="44" t="n">
        <x:v>74</x:v>
      </x:c>
      <x:c r="H133" s="44" t="str">
        <x:v>Amouage, CHANEL, Dior, Kenny Originals, Prada, YSL</x:v>
      </x:c>
      <x:c r="I133" s="48" t="n">
        <x:v>0.405</x:v>
      </x:c>
      <x:c r="J133" s="48" t="n">
        <x:v>20.2245</x:v>
      </x:c>
      <x:c r="K133" s="48" t="n">
        <x:v>30.711378378378377</x:v>
      </x:c>
      <x:c r="L133" s="48" t="n">
        <x:v>167.056</x:v>
      </x:c>
      <x:c r="M133" s="46" t="n">
        <x:v>0.00040500000000000003</x:v>
      </x:c>
      <x:c r="N133" s="46" t="n">
        <x:v>0.0202245</x:v>
      </x:c>
      <x:c r="O133" s="46" t="n">
        <x:v>0.167056</x:v>
      </x:c>
      <x:c r="P133" s="46" t="n">
        <x:v>0.00010125000000000001</x:v>
      </x:c>
      <x:c r="Q133" s="46" t="n">
        <x:v>0.0046695</x:v>
      </x:c>
      <x:c r="R133" s="46" t="n">
        <x:v>0.036752320000000005</x:v>
      </x:c>
      <x:c r="S133" s="46" t="n">
        <x:v>0.000010125000000000002</x:v>
      </x:c>
      <x:c r="T133" s="46" t="n">
        <x:v>0.00046695</x:v>
      </x:c>
      <x:c r="U133" s="46" t="n">
        <x:v>0.0036752320000000005</x:v>
      </x:c>
      <x:c r="V133" s="44" t="n">
        <x:v>0</x:v>
      </x:c>
      <x:c r="W133" s="44" t="n">
        <x:v>0</x:v>
      </x:c>
      <x:c r="X133" s="44" t="str">
        <x:v>AM-E01, AM-E02, AM-E03, AM-E04, AM-E05, AM-E06, AM-E07, AM-E08, AM-E10, AM-E11, AM-E12, AM-E13, AM-E14, AM-E15, AM-E16, AM-L02, AM-L03, AM-L04, AM-L05, AM-L06, AM-L07, AM-L08, AM-L09, AM-N01, AM-N02, AM-N03, AM-N04, AM-N05, AM-N07, AM-N08, AM-N09, AM-N10, AM-N11, AM-N12, AM-N13, AM-N15, AM-N16, C01, C07, C08, H01, H04, H05, H06, H07, H08, O02, O04, O05, PR-E01, PR-E02, PR-E04, PR-E05, PR-E07, PR-E08, PR-E09, PR-L01, PR-L04, PR-N05, PR-N06, PR-N07, PR-N09, PR-N13, S04, S05, S06, S08, Y03, Y04, Y07, Y08, Y09, Y10, Y11</x:v>
      </x:c>
    </x:row>
    <x:row r="134" ht="40" customHeight="1">
      <x:c r="A134" s="44" t="str">
        <x:v>Lavender EO High Altitude</x:v>
      </x:c>
      <x:c r="B134" s="44" t="str">
        <x:v>neat / as supplied</x:v>
      </x:c>
      <x:c r="C134" s="46" t="n">
        <x:v>1</x:v>
      </x:c>
      <x:c r="D134" s="44" t="str">
        <x:v>aromatic_top</x:v>
      </x:c>
      <x:c r="E134" s="44" t="str">
        <x:v>DIRECT</x:v>
      </x:c>
      <x:c r="F134" s="44" t="n">
        <x:v>71</x:v>
      </x:c>
      <x:c r="G134" s="44" t="n">
        <x:v>71</x:v>
      </x:c>
      <x:c r="H134" s="44" t="str">
        <x:v>Amouage, CHANEL, Dior, Kenny Originals, Prada, YSL</x:v>
      </x:c>
      <x:c r="I134" s="48" t="n">
        <x:v>0.394</x:v>
      </x:c>
      <x:c r="J134" s="48" t="n">
        <x:v>10.039</x:v>
      </x:c>
      <x:c r="K134" s="48" t="n">
        <x:v>31.271915492957746</x:v>
      </x:c>
      <x:c r="L134" s="48" t="n">
        <x:v>160.001</x:v>
      </x:c>
      <x:c r="M134" s="46" t="n">
        <x:v>0.00039400000000000004</x:v>
      </x:c>
      <x:c r="N134" s="46" t="n">
        <x:v>0.010039</x:v>
      </x:c>
      <x:c r="O134" s="46" t="n">
        <x:v>0.160001</x:v>
      </x:c>
      <x:c r="P134" s="46" t="n">
        <x:v>0.00007880000000000002</x:v>
      </x:c>
      <x:c r="Q134" s="46" t="n">
        <x:v>0.00220725</x:v>
      </x:c>
      <x:c r="R134" s="46" t="n">
        <x:v>0.036458399999999995</x:v>
      </x:c>
      <x:c r="S134" s="46" t="n">
        <x:v>0.00007880000000000002</x:v>
      </x:c>
      <x:c r="T134" s="46" t="n">
        <x:v>0.00220725</x:v>
      </x:c>
      <x:c r="U134" s="46" t="n">
        <x:v>0.036458399999999995</x:v>
      </x:c>
      <x:c r="V134" s="44" t="n">
        <x:v>0</x:v>
      </x:c>
      <x:c r="W134" s="44" t="n">
        <x:v>0</x:v>
      </x:c>
      <x:c r="X134" s="44" t="str">
        <x:v>AM-E01, AM-E02, AM-E03, AM-E04, AM-E05, AM-E06, AM-E07, AM-E08, AM-E09, AM-E10, AM-E11, AM-E12, AM-E13, AM-E14, AM-E15, AM-E16, AM-L01, AM-L02, AM-L03, AM-L04, AM-L05, AM-L06, AM-L07, AM-L08, AM-L09, AM-N01, AM-N02, AM-N03, AM-N04, AM-N05, AM-N06, AM-N07, AM-N08, AM-N09, AM-N10, AM-N11, AM-N12, AM-N13, AM-N14, AM-N15, AM-N16, C02, C05, C07, C08, H01, H04, H08, H11, O03, PR-E03, PR-E04, PR-E06, PR-E07, PR-E08, PR-L01, PR-L02, PR-N01, PR-N02, PR-N05, S03, S06, S07, S08, Y08, Y09, Y10, Y11, Y12, Y13, Y14</x:v>
      </x:c>
    </x:row>
    <x:row r="135" ht="40" customHeight="1">
      <x:c r="A135" s="44" t="str">
        <x:v>Leafovert</x:v>
      </x:c>
      <x:c r="B135" s="44" t="str">
        <x:v>as supplied; verify label</x:v>
      </x:c>
      <x:c r="C135" s="46" t="n">
        <x:v>1</x:v>
      </x:c>
      <x:c r="D135" s="44" t="str">
        <x:v>Green / fruit</x:v>
      </x:c>
      <x:c r="E135" s="44" t="str">
        <x:v>VERIFY LABEL</x:v>
      </x:c>
      <x:c r="F135" s="44" t="n">
        <x:v>47</x:v>
      </x:c>
      <x:c r="G135" s="44" t="n">
        <x:v>47</x:v>
      </x:c>
      <x:c r="H135" s="44" t="str">
        <x:v>Amouage, Dior, Kenny Originals, Prada, YSL</x:v>
      </x:c>
      <x:c r="I135" s="48" t="n">
        <x:v>0.424</x:v>
      </x:c>
      <x:c r="J135" s="48" t="n">
        <x:v>3.579</x:v>
      </x:c>
      <x:c r="K135" s="48" t="n">
        <x:v>7.945595744680851</x:v>
      </x:c>
      <x:c r="L135" s="48" t="n">
        <x:v>57.133</x:v>
      </x:c>
      <x:c r="M135" s="46" t="n">
        <x:v>0.000424</x:v>
      </x:c>
      <x:c r="N135" s="46" t="n">
        <x:v>0.003579</x:v>
      </x:c>
      <x:c r="O135" s="46" t="n">
        <x:v>0.057133</x:v>
      </x:c>
      <x:c r="P135" s="46" t="n">
        <x:v>0.0000848</x:v>
      </x:c>
      <x:c r="Q135" s="46" t="n">
        <x:v>0.00095</x:v>
      </x:c>
      <x:c r="R135" s="46" t="n">
        <x:v>0.01256926</x:v>
      </x:c>
      <x:c r="S135" s="46" t="n">
        <x:v>0.0000848</x:v>
      </x:c>
      <x:c r="T135" s="46" t="n">
        <x:v>0.00095</x:v>
      </x:c>
      <x:c r="U135" s="46" t="n">
        <x:v>0.01256926</x:v>
      </x:c>
      <x:c r="V135" s="44" t="n">
        <x:v>0</x:v>
      </x:c>
      <x:c r="W135" s="44" t="n">
        <x:v>47</x:v>
      </x:c>
      <x:c r="X135" s="44" t="str">
        <x:v>AM-E01, AM-E02, AM-E03, AM-E04, AM-E05, AM-E06, AM-E07, AM-E08, AM-E09, AM-E10, AM-E11, AM-E12, AM-E13, AM-E14, AM-E15, AM-E16, AM-L01, AM-L02, AM-L03, AM-L04, AM-L05, AM-L06, AM-L07, AM-L08, AM-L09, AM-N01, AM-N02, AM-N03, AM-N04, AM-N05, AM-N06, AM-N07, AM-N08, AM-N09, AM-N10, AM-N11, AM-N12, AM-N13, AM-N14, AM-N15, AM-N16, H12, O06, PR-E01, PR-L05, PR-N04, Y01</x:v>
      </x:c>
    </x:row>
    <x:row r="136" ht="40" customHeight="1">
      <x:c r="A136" s="44" t="str">
        <x:v>Lemon FCF Oil Sicilian</x:v>
      </x:c>
      <x:c r="B136" s="44" t="str">
        <x:v>neat / as supplied</x:v>
      </x:c>
      <x:c r="C136" s="46" t="n">
        <x:v>1</x:v>
      </x:c>
      <x:c r="D136" s="44" t="str">
        <x:v>citrus_top</x:v>
      </x:c>
      <x:c r="E136" s="44" t="str">
        <x:v>DIRECT</x:v>
      </x:c>
      <x:c r="F136" s="44" t="n">
        <x:v>62</x:v>
      </x:c>
      <x:c r="G136" s="44" t="n">
        <x:v>62</x:v>
      </x:c>
      <x:c r="H136" s="44" t="str">
        <x:v>Amouage, CHANEL, Dior, Kenny Originals, Prada, YSL</x:v>
      </x:c>
      <x:c r="I136" s="48" t="n">
        <x:v>0.307</x:v>
      </x:c>
      <x:c r="J136" s="48" t="n">
        <x:v>5.243</x:v>
      </x:c>
      <x:c r="K136" s="48" t="n">
        <x:v>26.51767741935484</x:v>
      </x:c>
      <x:c r="L136" s="48" t="n">
        <x:v>260</x:v>
      </x:c>
      <x:c r="M136" s="46" t="n">
        <x:v>0.000307</x:v>
      </x:c>
      <x:c r="N136" s="46" t="n">
        <x:v>0.005243</x:v>
      </x:c>
      <x:c r="O136" s="46" t="n">
        <x:v>0.26</x:v>
      </x:c>
      <x:c r="P136" s="46" t="n">
        <x:v>0.00007368</x:v>
      </x:c>
      <x:c r="Q136" s="46" t="n">
        <x:v>0.0011275249999999999</x:v>
      </x:c>
      <x:c r="R136" s="46" t="n">
        <x:v>0.052000000000000005</x:v>
      </x:c>
      <x:c r="S136" s="46" t="n">
        <x:v>0.00007368</x:v>
      </x:c>
      <x:c r="T136" s="46" t="n">
        <x:v>0.0011275249999999999</x:v>
      </x:c>
      <x:c r="U136" s="46" t="n">
        <x:v>0.052000000000000005</x:v>
      </x:c>
      <x:c r="V136" s="44" t="n">
        <x:v>0</x:v>
      </x:c>
      <x:c r="W136" s="44" t="n">
        <x:v>0</x:v>
      </x:c>
      <x:c r="X136" s="44" t="str">
        <x:v>AM-E01, AM-E02, AM-E03, AM-E04, AM-E05, AM-E06, AM-E07, AM-E08, AM-E09, AM-E10, AM-E12, AM-E13, AM-E14, AM-E15, AM-E16, AM-L01, AM-L02, AM-L03, AM-L04, AM-L06, AM-L07, AM-L08, AM-L09, AM-N01, AM-N02, AM-N03, AM-N04, AM-N05, AM-N06, AM-N07, AM-N09, AM-N10, AM-N11, AM-N12, AM-N13, AM-N14, AM-N15, AM-N16, C01, C02, C03, C04, C06, C07, H11, H12, H13, H14, H15, O05, O06, PR-E07, PR-L02, PR-N03, PR-N07, PR-N10, PR-N11, PR-N12, PR-N13, PR-N14, S03, Y14</x:v>
      </x:c>
    </x:row>
    <x:row r="137" ht="40" customHeight="1">
      <x:c r="A137" s="44" t="str">
        <x:v>Licorice Accord 10%</x:v>
      </x:c>
      <x:c r="B137" s="44" t="str">
        <x:v>10% target-required accord</x:v>
      </x:c>
      <x:c r="C137" s="46" t="n">
        <x:v>0.1</x:v>
      </x:c>
      <x:c r="D137" s="44" t="str">
        <x:v>Sweet balsamic</x:v>
      </x:c>
      <x:c r="E137" s="44" t="str">
        <x:v>TARGET REQUIRED / INVENTORY GAP</x:v>
      </x:c>
      <x:c r="F137" s="44" t="n">
        <x:v>1</x:v>
      </x:c>
      <x:c r="G137" s="44" t="n">
        <x:v>1</x:v>
      </x:c>
      <x:c r="H137" s="44" t="str">
        <x:v>Prada</x:v>
      </x:c>
      <x:c r="I137" s="48" t="n">
        <x:v>53.93</x:v>
      </x:c>
      <x:c r="J137" s="48" t="n">
        <x:v>53.93</x:v>
      </x:c>
      <x:c r="K137" s="48" t="n">
        <x:v>53.93</x:v>
      </x:c>
      <x:c r="L137" s="48" t="n">
        <x:v>53.93</x:v>
      </x:c>
      <x:c r="M137" s="46" t="n">
        <x:v>0.05393</x:v>
      </x:c>
      <x:c r="N137" s="46" t="n">
        <x:v>0.05393</x:v>
      </x:c>
      <x:c r="O137" s="46" t="n">
        <x:v>0.05393</x:v>
      </x:c>
      <x:c r="P137" s="46" t="n">
        <x:v>0.010786000000000002</x:v>
      </x:c>
      <x:c r="Q137" s="46" t="n">
        <x:v>0.010786000000000002</x:v>
      </x:c>
      <x:c r="R137" s="46" t="n">
        <x:v>0.010786000000000002</x:v>
      </x:c>
      <x:c r="S137" s="46" t="n">
        <x:v>0.0010786000000000003</x:v>
      </x:c>
      <x:c r="T137" s="46" t="n">
        <x:v>0.0010786000000000003</x:v>
      </x:c>
      <x:c r="U137" s="46" t="n">
        <x:v>0.0010786000000000003</x:v>
      </x:c>
      <x:c r="V137" s="44" t="n">
        <x:v>1</x:v>
      </x:c>
      <x:c r="W137" s="44" t="n">
        <x:v>0</x:v>
      </x:c>
      <x:c r="X137" s="44" t="str">
        <x:v>PR-E04</x:v>
      </x:c>
    </x:row>
    <x:row r="138" ht="40" customHeight="1">
      <x:c r="A138" s="44" t="str">
        <x:v>Lilyreal ND</x:v>
      </x:c>
      <x:c r="B138" s="44" t="str">
        <x:v>as supplied; product basis</x:v>
      </x:c>
      <x:c r="C138" s="46"/>
      <x:c r="D138" s="44" t="str">
        <x:v>air_floral</x:v>
      </x:c>
      <x:c r="E138" s="44" t="str">
        <x:v>PRODUCT BASIS</x:v>
      </x:c>
      <x:c r="F138" s="44" t="n">
        <x:v>1</x:v>
      </x:c>
      <x:c r="G138" s="44" t="n">
        <x:v>1</x:v>
      </x:c>
      <x:c r="H138" s="44" t="str">
        <x:v>YSL</x:v>
      </x:c>
      <x:c r="I138" s="48" t="n">
        <x:v>0.104</x:v>
      </x:c>
      <x:c r="J138" s="48" t="n">
        <x:v>0.104</x:v>
      </x:c>
      <x:c r="K138" s="48" t="n">
        <x:v>0.104</x:v>
      </x:c>
      <x:c r="L138" s="48" t="n">
        <x:v>0.104</x:v>
      </x:c>
      <x:c r="M138" s="46" t="n">
        <x:v>0.000104</x:v>
      </x:c>
      <x:c r="N138" s="46" t="n">
        <x:v>0.000104</x:v>
      </x:c>
      <x:c r="O138" s="46" t="n">
        <x:v>0.000104</x:v>
      </x:c>
      <x:c r="P138" s="46" t="n">
        <x:v>0.000018719999999999997</x:v>
      </x:c>
      <x:c r="Q138" s="46" t="n">
        <x:v>0.000018719999999999997</x:v>
      </x:c>
      <x:c r="R138" s="46" t="n">
        <x:v>0.000018719999999999997</x:v>
      </x:c>
      <x:c r="S138" s="46"/>
      <x:c r="T138" s="46"/>
      <x:c r="U138" s="46"/>
      <x:c r="V138" s="44" t="n">
        <x:v>0</x:v>
      </x:c>
      <x:c r="W138" s="44" t="n">
        <x:v>0</x:v>
      </x:c>
      <x:c r="X138" s="44" t="str">
        <x:v>Y12</x:v>
      </x:c>
    </x:row>
    <x:row r="139" ht="40" customHeight="1">
      <x:c r="A139" s="44" t="str">
        <x:v>Lime Distilled EO</x:v>
      </x:c>
      <x:c r="B139" s="44" t="str">
        <x:v>neat / as supplied</x:v>
      </x:c>
      <x:c r="C139" s="46" t="n">
        <x:v>1</x:v>
      </x:c>
      <x:c r="D139" s="44" t="str">
        <x:v>citrus_top</x:v>
      </x:c>
      <x:c r="E139" s="44" t="str">
        <x:v>DIRECT</x:v>
      </x:c>
      <x:c r="F139" s="44" t="n">
        <x:v>4</x:v>
      </x:c>
      <x:c r="G139" s="44" t="n">
        <x:v>4</x:v>
      </x:c>
      <x:c r="H139" s="44" t="str">
        <x:v>Amouage, Prada, YSL</x:v>
      </x:c>
      <x:c r="I139" s="48" t="n">
        <x:v>10.782</x:v>
      </x:c>
      <x:c r="J139" s="48" t="n">
        <x:v>16.857</x:v>
      </x:c>
      <x:c r="K139" s="48" t="n">
        <x:v>17.211</x:v>
      </x:c>
      <x:c r="L139" s="48" t="n">
        <x:v>24.348</x:v>
      </x:c>
      <x:c r="M139" s="46" t="n">
        <x:v>0.010782</x:v>
      </x:c>
      <x:c r="N139" s="46" t="n">
        <x:v>0.016857</x:v>
      </x:c>
      <x:c r="O139" s="46" t="n">
        <x:v>0.024348</x:v>
      </x:c>
      <x:c r="P139" s="46" t="n">
        <x:v>0.0016173</x:v>
      </x:c>
      <x:c r="Q139" s="46" t="n">
        <x:v>0.003411755</x:v>
      </x:c>
      <x:c r="R139" s="46" t="n">
        <x:v>0.0045267499999999995</x:v>
      </x:c>
      <x:c r="S139" s="46" t="n">
        <x:v>0.0016173</x:v>
      </x:c>
      <x:c r="T139" s="46" t="n">
        <x:v>0.003411755</x:v>
      </x:c>
      <x:c r="U139" s="46" t="n">
        <x:v>0.0045267499999999995</x:v>
      </x:c>
      <x:c r="V139" s="44" t="n">
        <x:v>0</x:v>
      </x:c>
      <x:c r="W139" s="44" t="n">
        <x:v>0</x:v>
      </x:c>
      <x:c r="X139" s="44" t="str">
        <x:v>AM-E16, AM-N04, PR-L02, Y05</x:v>
      </x:c>
    </x:row>
    <x:row r="140" ht="40" customHeight="1">
      <x:c r="A140" s="44" t="str">
        <x:v>Linalool</x:v>
      </x:c>
      <x:c r="B140" s="44" t="str">
        <x:v>neat / as supplied</x:v>
      </x:c>
      <x:c r="C140" s="46" t="n">
        <x:v>1</x:v>
      </x:c>
      <x:c r="D140" s="44" t="str">
        <x:v>aromatic_top</x:v>
      </x:c>
      <x:c r="E140" s="44" t="str">
        <x:v>DIRECT</x:v>
      </x:c>
      <x:c r="F140" s="44" t="n">
        <x:v>104</x:v>
      </x:c>
      <x:c r="G140" s="44" t="n">
        <x:v>104</x:v>
      </x:c>
      <x:c r="H140" s="44" t="str">
        <x:v>Amouage, CHANEL, Dior, Kenny Originals, Prada, YSL</x:v>
      </x:c>
      <x:c r="I140" s="48" t="n">
        <x:v>0.328</x:v>
      </x:c>
      <x:c r="J140" s="48" t="n">
        <x:v>6.566</x:v>
      </x:c>
      <x:c r="K140" s="48" t="n">
        <x:v>13.344865384615385</x:v>
      </x:c>
      <x:c r="L140" s="48" t="n">
        <x:v>80.509</x:v>
      </x:c>
      <x:c r="M140" s="46" t="n">
        <x:v>0.000328</x:v>
      </x:c>
      <x:c r="N140" s="46" t="n">
        <x:v>0.006566</x:v>
      </x:c>
      <x:c r="O140" s="46" t="n">
        <x:v>0.080509</x:v>
      </x:c>
      <x:c r="P140" s="46" t="n">
        <x:v>0.00006560000000000001</x:v>
      </x:c>
      <x:c r="Q140" s="46" t="n">
        <x:v>0.00146436</x:v>
      </x:c>
      <x:c r="R140" s="46" t="n">
        <x:v>0.014773400000000003</x:v>
      </x:c>
      <x:c r="S140" s="46" t="n">
        <x:v>0.00006560000000000001</x:v>
      </x:c>
      <x:c r="T140" s="46" t="n">
        <x:v>0.00146436</x:v>
      </x:c>
      <x:c r="U140" s="46" t="n">
        <x:v>0.014773400000000003</x:v>
      </x:c>
      <x:c r="V140" s="44" t="n">
        <x:v>0</x:v>
      </x:c>
      <x:c r="W140" s="44" t="n">
        <x:v>0</x:v>
      </x:c>
      <x:c r="X140"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O01, O02, O03, O05, O06, PR-E01, PR-E02, PR-E03, PR-E04, PR-E06, PR-E07, PR-E08, PR-E09, PR-L01, PR-L02, PR-L03, PR-L05, PR-N01, PR-N02, PR-N04, S01, S02, S03, S04, S05, S06, S07, S08, Y01, Y03, Y04, Y05, Y06, Y07, Y08, Y09, Y10, Y11, Y12, Y13, Y14</x:v>
      </x:c>
    </x:row>
    <x:row r="141" ht="40" customHeight="1">
      <x:c r="A141" s="44" t="str">
        <x:v>Linalyl Acetate</x:v>
      </x:c>
      <x:c r="B141" s="44" t="str">
        <x:v>neat / as supplied</x:v>
      </x:c>
      <x:c r="C141" s="46" t="n">
        <x:v>1</x:v>
      </x:c>
      <x:c r="D141" s="44" t="str">
        <x:v>aromatic_top</x:v>
      </x:c>
      <x:c r="E141" s="44" t="str">
        <x:v>DIRECT</x:v>
      </x:c>
      <x:c r="F141" s="44" t="n">
        <x:v>82</x:v>
      </x:c>
      <x:c r="G141" s="44" t="n">
        <x:v>82</x:v>
      </x:c>
      <x:c r="H141" s="44" t="str">
        <x:v>Amouage, CHANEL, Dior, Kenny Originals, Prada, YSL</x:v>
      </x:c>
      <x:c r="I141" s="48" t="n">
        <x:v>0.492</x:v>
      </x:c>
      <x:c r="J141" s="48" t="n">
        <x:v>10.0715</x:v>
      </x:c>
      <x:c r="K141" s="48" t="n">
        <x:v>21.807012195121953</x:v>
      </x:c>
      <x:c r="L141" s="48" t="n">
        <x:v>141.772</x:v>
      </x:c>
      <x:c r="M141" s="46" t="n">
        <x:v>0.000492</x:v>
      </x:c>
      <x:c r="N141" s="46" t="n">
        <x:v>0.0100715</x:v>
      </x:c>
      <x:c r="O141" s="46" t="n">
        <x:v>0.14177199999999998</x:v>
      </x:c>
      <x:c r="P141" s="46" t="n">
        <x:v>0.00009839999999999999</x:v>
      </x:c>
      <x:c r="Q141" s="46" t="n">
        <x:v>0.001959825</x:v>
      </x:c>
      <x:c r="R141" s="46" t="n">
        <x:v>0.025518959999999997</x:v>
      </x:c>
      <x:c r="S141" s="46" t="n">
        <x:v>0.00009839999999999999</x:v>
      </x:c>
      <x:c r="T141" s="46" t="n">
        <x:v>0.001959825</x:v>
      </x:c>
      <x:c r="U141" s="46" t="n">
        <x:v>0.025518959999999997</x:v>
      </x:c>
      <x:c r="V141" s="44" t="n">
        <x:v>0</x:v>
      </x:c>
      <x:c r="W141" s="44" t="n">
        <x:v>0</x:v>
      </x:c>
      <x:c r="X141"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H09, O03, O05, O06, PR-E01, PR-E03, PR-E04, PR-E06, PR-E07, PR-E08, PR-L01, PR-L02, PR-L03, PR-L05, PR-N01, PR-N02, PR-N04, S01, S02, S03, S04, S05, S06, S07, S08, Y01, Y08, Y09, Y10, Y11, Y12, Y13, Y14</x:v>
      </x:c>
    </x:row>
    <x:row r="142" ht="40" customHeight="1">
      <x:c r="A142" s="44" t="str">
        <x:v>Macrolide</x:v>
      </x:c>
      <x:c r="B142" s="44" t="str">
        <x:v>as supplied</x:v>
      </x:c>
      <x:c r="C142" s="46" t="n">
        <x:v>1</x:v>
      </x:c>
      <x:c r="D142" s="44" t="str">
        <x:v>musk</x:v>
      </x:c>
      <x:c r="E142" s="44" t="str">
        <x:v>DIRECT</x:v>
      </x:c>
      <x:c r="F142" s="44" t="n">
        <x:v>90</x:v>
      </x:c>
      <x:c r="G142" s="44" t="n">
        <x:v>90</x:v>
      </x:c>
      <x:c r="H142" s="44" t="str">
        <x:v>Amouage, CHANEL, Dior, Kenny Originals, YSL</x:v>
      </x:c>
      <x:c r="I142" s="48" t="n">
        <x:v>0.198</x:v>
      </x:c>
      <x:c r="J142" s="48" t="n">
        <x:v>1.634</x:v>
      </x:c>
      <x:c r="K142" s="48" t="n">
        <x:v>3.289422222222222</x:v>
      </x:c>
      <x:c r="L142" s="48" t="n">
        <x:v>19.423</x:v>
      </x:c>
      <x:c r="M142" s="46" t="n">
        <x:v>0.00019800000000000002</x:v>
      </x:c>
      <x:c r="N142" s="46" t="n">
        <x:v>0.0016339999999999998</x:v>
      </x:c>
      <x:c r="O142" s="46" t="n">
        <x:v>0.019423</x:v>
      </x:c>
      <x:c r="P142" s="46" t="n">
        <x:v>0.000057419999999999996</x:v>
      </x:c>
      <x:c r="Q142" s="46" t="n">
        <x:v>0.00035859</x:v>
      </x:c>
      <x:c r="R142" s="46" t="n">
        <x:v>0.0031170000000000004</x:v>
      </x:c>
      <x:c r="S142" s="46" t="n">
        <x:v>0.000057419999999999996</x:v>
      </x:c>
      <x:c r="T142" s="46" t="n">
        <x:v>0.00035859</x:v>
      </x:c>
      <x:c r="U142" s="46" t="n">
        <x:v>0.0031170000000000004</x:v>
      </x:c>
      <x:c r="V142" s="44" t="n">
        <x:v>0</x:v>
      </x:c>
      <x:c r="W142" s="44" t="n">
        <x:v>0</x:v>
      </x:c>
      <x:c r="X142" s="44" t="str">
        <x:v>AM-E01, AM-E02, AM-E03, AM-E04, AM-E05, AM-E06, AM-E07, AM-E08, AM-E09, AM-E10, AM-E11, AM-E12, AM-E13, AM-E14, AM-E15, AM-E16, AM-L01, AM-L02, AM-L03, AM-L04, AM-L05, AM-L06, AM-L07, AM-L08, AM-L09, AM-N01, AM-N02, AM-N03, AM-N04, AM-N05, AM-N06, AM-N07, AM-N08, AM-N09, AM-N10, AM-N11, AM-N12, AM-N13, AM-N14, AM-N15, AM-N16, C01, C02, C03, C04, C06, C07, C08, H01, H02, H03, H04, H05, H06, H07, H08, H10, H11, H12, H13, H14, H15, O01, O02, O03, O04, O05, O06, S01, S02, S03, S04, S05, S06, S07, S08, Y01, Y02, Y03, Y04, Y05, Y06, Y07, Y08, Y09, Y10, Y11, Y12, Y13, Y14</x:v>
      </x:c>
    </x:row>
    <x:row r="143" ht="40" customHeight="1">
      <x:c r="A143" s="44" t="str">
        <x:v>Magnolia EO</x:v>
      </x:c>
      <x:c r="B143" s="44" t="str">
        <x:v>neat / as supplied</x:v>
      </x:c>
      <x:c r="C143" s="46" t="n">
        <x:v>1</x:v>
      </x:c>
      <x:c r="D143" s="44" t="str">
        <x:v>air_floral</x:v>
      </x:c>
      <x:c r="E143" s="44" t="str">
        <x:v>TRACE PREMIX</x:v>
      </x:c>
      <x:c r="F143" s="44" t="n">
        <x:v>82</x:v>
      </x:c>
      <x:c r="G143" s="44" t="n">
        <x:v>82</x:v>
      </x:c>
      <x:c r="H143" s="44" t="str">
        <x:v>Amouage, CHANEL, Dior, Kenny Originals, Prada, YSL</x:v>
      </x:c>
      <x:c r="I143" s="48" t="n">
        <x:v>0.064</x:v>
      </x:c>
      <x:c r="J143" s="48" t="n">
        <x:v>0.5155000000000001</x:v>
      </x:c>
      <x:c r="K143" s="48" t="n">
        <x:v>4.350951219512195</x:v>
      </x:c>
      <x:c r="L143" s="48" t="n">
        <x:v>113.347</x:v>
      </x:c>
      <x:c r="M143" s="46" t="n">
        <x:v>0.000064</x:v>
      </x:c>
      <x:c r="N143" s="46" t="n">
        <x:v>0.0005155</x:v>
      </x:c>
      <x:c r="O143" s="46" t="n">
        <x:v>0.113347</x:v>
      </x:c>
      <x:c r="P143" s="46" t="n">
        <x:v>0.0000152</x:v>
      </x:c>
      <x:c r="Q143" s="46" t="n">
        <x:v>0.000126735</x:v>
      </x:c>
      <x:c r="R143" s="46" t="n">
        <x:v>0.024936339999999998</x:v>
      </x:c>
      <x:c r="S143" s="46" t="n">
        <x:v>0.0000152</x:v>
      </x:c>
      <x:c r="T143" s="46" t="n">
        <x:v>0.000126735</x:v>
      </x:c>
      <x:c r="U143" s="46" t="n">
        <x:v>0.024936339999999998</x:v>
      </x:c>
      <x:c r="V143" s="44" t="n">
        <x:v>0</x:v>
      </x:c>
      <x:c r="W143" s="44" t="n">
        <x:v>0</x:v>
      </x:c>
      <x:c r="X143" s="44" t="str">
        <x:v>AM-E01, AM-E02, AM-E03, AM-E04, AM-E05, AM-E06, AM-E07, AM-E08, AM-E09, AM-E10, AM-E11, AM-E12, AM-E13, AM-E14, AM-E15, AM-L01, AM-L02, AM-L03, AM-L04, AM-L05, AM-L06, AM-L07, AM-L08, AM-L09, AM-N01, AM-N02, AM-N03, AM-N04, AM-N05, AM-N06, AM-N07, AM-N08, AM-N09, AM-N11, AM-N12, AM-N13, AM-N14, AM-N15, AM-N16, C01, C02, C03, C04, C06, C07, H01, H02, H03, H04, H05, H06, H07, H09, H10, H11, H12, O01, O02, O03, O04, O05, O06, PR-E01, PR-L03, PR-L05, PR-N04, PR-N14, S07, Y01, Y02, Y03, Y04, Y05, Y06, Y07, Y08, Y09, Y10, Y11, Y12, Y13, Y14</x:v>
      </x:c>
    </x:row>
    <x:row r="144" ht="40" customHeight="1">
      <x:c r="A144" s="44" t="str">
        <x:v>Marjoram EO 10%</x:v>
      </x:c>
      <x:c r="B144" s="44" t="str">
        <x:v>10% target-required working dilution</x:v>
      </x:c>
      <x:c r="C144" s="46" t="n">
        <x:v>0.1</x:v>
      </x:c>
      <x:c r="D144" s="44" t="str">
        <x:v>Aromatic top</x:v>
      </x:c>
      <x:c r="E144" s="44" t="str">
        <x:v>TARGET REQUIRED / INVENTORY GAP</x:v>
      </x:c>
      <x:c r="F144" s="44" t="n">
        <x:v>1</x:v>
      </x:c>
      <x:c r="G144" s="44" t="n">
        <x:v>1</x:v>
      </x:c>
      <x:c r="H144" s="44" t="str">
        <x:v>Amouage</x:v>
      </x:c>
      <x:c r="I144" s="48" t="n">
        <x:v>179.999</x:v>
      </x:c>
      <x:c r="J144" s="48" t="n">
        <x:v>179.999</x:v>
      </x:c>
      <x:c r="K144" s="48" t="n">
        <x:v>179.999</x:v>
      </x:c>
      <x:c r="L144" s="48" t="n">
        <x:v>179.999</x:v>
      </x:c>
      <x:c r="M144" s="46" t="n">
        <x:v>0.179999</x:v>
      </x:c>
      <x:c r="N144" s="46" t="n">
        <x:v>0.179999</x:v>
      </x:c>
      <x:c r="O144" s="46" t="n">
        <x:v>0.179999</x:v>
      </x:c>
      <x:c r="P144" s="46" t="n">
        <x:v>0.04499975</x:v>
      </x:c>
      <x:c r="Q144" s="46" t="n">
        <x:v>0.04499975</x:v>
      </x:c>
      <x:c r="R144" s="46" t="n">
        <x:v>0.04499975</x:v>
      </x:c>
      <x:c r="S144" s="46" t="n">
        <x:v>0.004499975000000001</x:v>
      </x:c>
      <x:c r="T144" s="46" t="n">
        <x:v>0.004499975000000001</x:v>
      </x:c>
      <x:c r="U144" s="46" t="n">
        <x:v>0.004499975000000001</x:v>
      </x:c>
      <x:c r="V144" s="44" t="n">
        <x:v>1</x:v>
      </x:c>
      <x:c r="W144" s="44" t="n">
        <x:v>0</x:v>
      </x:c>
      <x:c r="X144" s="44" t="str">
        <x:v>AM-L09</x:v>
      </x:c>
    </x:row>
    <x:row r="145" ht="40" customHeight="1">
      <x:c r="A145" s="44" t="str">
        <x:v>Mayol</x:v>
      </x:c>
      <x:c r="B145" s="44" t="str">
        <x:v>neat</x:v>
      </x:c>
      <x:c r="C145" s="46" t="n">
        <x:v>1</x:v>
      </x:c>
      <x:c r="D145" s="44" t="str">
        <x:v>Floral air</x:v>
      </x:c>
      <x:c r="E145" s="44" t="str">
        <x:v>DIRECT</x:v>
      </x:c>
      <x:c r="F145" s="44" t="n">
        <x:v>1</x:v>
      </x:c>
      <x:c r="G145" s="44" t="n">
        <x:v>1</x:v>
      </x:c>
      <x:c r="H145" s="44" t="str">
        <x:v>Prada</x:v>
      </x:c>
      <x:c r="I145" s="48" t="n">
        <x:v>17.953</x:v>
      </x:c>
      <x:c r="J145" s="48" t="n">
        <x:v>17.953</x:v>
      </x:c>
      <x:c r="K145" s="48" t="n">
        <x:v>17.953</x:v>
      </x:c>
      <x:c r="L145" s="48" t="n">
        <x:v>17.953</x:v>
      </x:c>
      <x:c r="M145" s="46" t="n">
        <x:v>0.017953</x:v>
      </x:c>
      <x:c r="N145" s="46" t="n">
        <x:v>0.017953</x:v>
      </x:c>
      <x:c r="O145" s="46" t="n">
        <x:v>0.017953</x:v>
      </x:c>
      <x:c r="P145" s="46" t="n">
        <x:v>0.0026929499999999995</x:v>
      </x:c>
      <x:c r="Q145" s="46" t="n">
        <x:v>0.0026929499999999995</x:v>
      </x:c>
      <x:c r="R145" s="46" t="n">
        <x:v>0.0026929499999999995</x:v>
      </x:c>
      <x:c r="S145" s="46" t="n">
        <x:v>0.0026929499999999995</x:v>
      </x:c>
      <x:c r="T145" s="46" t="n">
        <x:v>0.0026929499999999995</x:v>
      </x:c>
      <x:c r="U145" s="46" t="n">
        <x:v>0.0026929499999999995</x:v>
      </x:c>
      <x:c r="V145" s="44" t="n">
        <x:v>0</x:v>
      </x:c>
      <x:c r="W145" s="44" t="n">
        <x:v>0</x:v>
      </x:c>
      <x:c r="X145" s="44" t="str">
        <x:v>PR-E01</x:v>
      </x:c>
    </x:row>
    <x:row r="146" ht="40" customHeight="1">
      <x:c r="A146" s="44" t="str">
        <x:v>Metallic Linen Aldehyde Accord 10%</x:v>
      </x:c>
      <x:c r="B146" s="44" t="str">
        <x:v>10% target-required accord</x:v>
      </x:c>
      <x:c r="C146" s="46" t="n">
        <x:v>0.1</x:v>
      </x:c>
      <x:c r="D146" s="44" t="str">
        <x:v>Citrus top</x:v>
      </x:c>
      <x:c r="E146" s="44" t="str">
        <x:v>TARGET REQUIRED / INVENTORY GAP</x:v>
      </x:c>
      <x:c r="F146" s="44" t="n">
        <x:v>1</x:v>
      </x:c>
      <x:c r="G146" s="44" t="n">
        <x:v>1</x:v>
      </x:c>
      <x:c r="H146" s="44" t="str">
        <x:v>Prada</x:v>
      </x:c>
      <x:c r="I146" s="48" t="n">
        <x:v>10.772</x:v>
      </x:c>
      <x:c r="J146" s="48" t="n">
        <x:v>10.772</x:v>
      </x:c>
      <x:c r="K146" s="48" t="n">
        <x:v>10.772</x:v>
      </x:c>
      <x:c r="L146" s="48" t="n">
        <x:v>10.772</x:v>
      </x:c>
      <x:c r="M146" s="46" t="n">
        <x:v>0.010771999999999999</x:v>
      </x:c>
      <x:c r="N146" s="46" t="n">
        <x:v>0.010771999999999999</x:v>
      </x:c>
      <x:c r="O146" s="46" t="n">
        <x:v>0.010771999999999999</x:v>
      </x:c>
      <x:c r="P146" s="46" t="n">
        <x:v>0.0016158</x:v>
      </x:c>
      <x:c r="Q146" s="46" t="n">
        <x:v>0.0016158</x:v>
      </x:c>
      <x:c r="R146" s="46" t="n">
        <x:v>0.0016158</x:v>
      </x:c>
      <x:c r="S146" s="46" t="n">
        <x:v>0.00016158000000000004</x:v>
      </x:c>
      <x:c r="T146" s="46" t="n">
        <x:v>0.00016158000000000004</x:v>
      </x:c>
      <x:c r="U146" s="46" t="n">
        <x:v>0.00016158000000000004</x:v>
      </x:c>
      <x:c r="V146" s="44" t="n">
        <x:v>1</x:v>
      </x:c>
      <x:c r="W146" s="44" t="n">
        <x:v>0</x:v>
      </x:c>
      <x:c r="X146" s="44" t="str">
        <x:v>PR-E01</x:v>
      </x:c>
    </x:row>
    <x:row r="147" ht="40" customHeight="1">
      <x:c r="A147" s="44" t="str">
        <x:v>Methyl Anthranilate</x:v>
      </x:c>
      <x:c r="B147" s="44" t="str">
        <x:v>neat / as supplied</x:v>
      </x:c>
      <x:c r="C147" s="46" t="n">
        <x:v>1</x:v>
      </x:c>
      <x:c r="D147" s="44" t="str">
        <x:v>air_floral</x:v>
      </x:c>
      <x:c r="E147" s="44" t="str">
        <x:v>TRACE PREMIX</x:v>
      </x:c>
      <x:c r="F147" s="44" t="n">
        <x:v>19</x:v>
      </x:c>
      <x:c r="G147" s="44" t="n">
        <x:v>19</x:v>
      </x:c>
      <x:c r="H147" s="44" t="str">
        <x:v>CHANEL, Dior, Kenny Originals, YSL</x:v>
      </x:c>
      <x:c r="I147" s="48" t="n">
        <x:v>0.083</x:v>
      </x:c>
      <x:c r="J147" s="48" t="n">
        <x:v>0.766</x:v>
      </x:c>
      <x:c r="K147" s="48" t="n">
        <x:v>1.146157894736842</x:v>
      </x:c>
      <x:c r="L147" s="48" t="n">
        <x:v>4</x:v>
      </x:c>
      <x:c r="M147" s="46" t="n">
        <x:v>0.000083</x:v>
      </x:c>
      <x:c r="N147" s="46" t="n">
        <x:v>0.000766</x:v>
      </x:c>
      <x:c r="O147" s="46" t="n">
        <x:v>0.004</x:v>
      </x:c>
      <x:c r="P147" s="46" t="n">
        <x:v>0.0000144</x:v>
      </x:c>
      <x:c r="Q147" s="46" t="n">
        <x:v>0.00014749999999999998</x:v>
      </x:c>
      <x:c r="R147" s="46" t="n">
        <x:v>0.0008799999999999999</x:v>
      </x:c>
      <x:c r="S147" s="46" t="n">
        <x:v>0.0000144</x:v>
      </x:c>
      <x:c r="T147" s="46" t="n">
        <x:v>0.00014749999999999998</x:v>
      </x:c>
      <x:c r="U147" s="46" t="n">
        <x:v>0.0008799999999999999</x:v>
      </x:c>
      <x:c r="V147" s="44" t="n">
        <x:v>0</x:v>
      </x:c>
      <x:c r="W147" s="44" t="n">
        <x:v>0</x:v>
      </x:c>
      <x:c r="X147" s="44" t="str">
        <x:v>C02, H01, H02, H03, H04, H05, H06, H07, H10, H11, H12, O01, O02, O05, O06, S07, Y03, Y04, Y06</x:v>
      </x:c>
    </x:row>
    <x:row r="148" ht="40" customHeight="1">
      <x:c r="A148" s="44" t="str">
        <x:v>Methyl Anthranilate 10%</x:v>
      </x:c>
      <x:c r="B148" s="44" t="str">
        <x:v>10% working dilution</x:v>
      </x:c>
      <x:c r="C148" s="46" t="n">
        <x:v>0.1</x:v>
      </x:c>
      <x:c r="D148" s="44" t="str">
        <x:v>Air floral</x:v>
      </x:c>
      <x:c r="E148" s="44" t="str">
        <x:v>PREPARED STOCK</x:v>
      </x:c>
      <x:c r="F148" s="44" t="n">
        <x:v>11</x:v>
      </x:c>
      <x:c r="G148" s="44" t="n">
        <x:v>11</x:v>
      </x:c>
      <x:c r="H148" s="44" t="str">
        <x:v>Amouage, Dior, Prada</x:v>
      </x:c>
      <x:c r="I148" s="48" t="n">
        <x:v>0.267</x:v>
      </x:c>
      <x:c r="J148" s="48" t="n">
        <x:v>0.932</x:v>
      </x:c>
      <x:c r="K148" s="48" t="n">
        <x:v>2.647</x:v>
      </x:c>
      <x:c r="L148" s="48" t="n">
        <x:v>8.338</x:v>
      </x:c>
      <x:c r="M148" s="46" t="n">
        <x:v>0.00026700000000000004</x:v>
      </x:c>
      <x:c r="N148" s="46" t="n">
        <x:v>0.0009320000000000001</x:v>
      </x:c>
      <x:c r="O148" s="46" t="n">
        <x:v>0.008337999999999998</x:v>
      </x:c>
      <x:c r="P148" s="46" t="n">
        <x:v>0.000053400000000000004</x:v>
      </x:c>
      <x:c r="Q148" s="46" t="n">
        <x:v>0.0002657</x:v>
      </x:c>
      <x:c r="R148" s="46" t="n">
        <x:v>0.00183436</x:v>
      </x:c>
      <x:c r="S148" s="46" t="n">
        <x:v>0.0000053400000000000005</x:v>
      </x:c>
      <x:c r="T148" s="46" t="n">
        <x:v>0.00002657</x:v>
      </x:c>
      <x:c r="U148" s="46" t="n">
        <x:v>0.00018343599999999998</x:v>
      </x:c>
      <x:c r="V148" s="44" t="n">
        <x:v>0</x:v>
      </x:c>
      <x:c r="W148" s="44" t="n">
        <x:v>0</x:v>
      </x:c>
      <x:c r="X148" s="44" t="str">
        <x:v>AM-E01, AM-E09, AM-E10, AM-L08, AM-N01, AM-N05, AM-N06, AM-N12, AM-N16, H09, PR-N14</x:v>
      </x:c>
    </x:row>
    <x:row r="149" ht="40" customHeight="1">
      <x:c r="A149" s="44" t="str">
        <x:v>Methyl Nonyl Ketone</x:v>
      </x:c>
      <x:c r="B149" s="44" t="str">
        <x:v>neat / as supplied</x:v>
      </x:c>
      <x:c r="C149" s="46" t="n">
        <x:v>1</x:v>
      </x:c>
      <x:c r="D149" s="44" t="str">
        <x:v>green_fruit</x:v>
      </x:c>
      <x:c r="E149" s="44" t="str">
        <x:v>TRACE PREMIX</x:v>
      </x:c>
      <x:c r="F149" s="44" t="n">
        <x:v>9</x:v>
      </x:c>
      <x:c r="G149" s="44" t="n">
        <x:v>9</x:v>
      </x:c>
      <x:c r="H149" s="44" t="str">
        <x:v>CHANEL, Kenny Originals, YSL</x:v>
      </x:c>
      <x:c r="I149" s="48" t="n">
        <x:v>0.092</x:v>
      </x:c>
      <x:c r="J149" s="48" t="n">
        <x:v>0.394</x:v>
      </x:c>
      <x:c r="K149" s="48" t="n">
        <x:v>0.95</x:v>
      </x:c>
      <x:c r="L149" s="48" t="n">
        <x:v>2</x:v>
      </x:c>
      <x:c r="M149" s="46" t="n">
        <x:v>0.000092</x:v>
      </x:c>
      <x:c r="N149" s="46" t="n">
        <x:v>0.00039400000000000004</x:v>
      </x:c>
      <x:c r="O149" s="46" t="n">
        <x:v>0.002</x:v>
      </x:c>
      <x:c r="P149" s="46" t="n">
        <x:v>0.00001104</x:v>
      </x:c>
      <x:c r="Q149" s="46" t="n">
        <x:v>0.00009850000000000001</x:v>
      </x:c>
      <x:c r="R149" s="46" t="n">
        <x:v>0.0005</x:v>
      </x:c>
      <x:c r="S149" s="46" t="n">
        <x:v>0.00001104</x:v>
      </x:c>
      <x:c r="T149" s="46" t="n">
        <x:v>0.00009850000000000001</x:v>
      </x:c>
      <x:c r="U149" s="46" t="n">
        <x:v>0.0005</x:v>
      </x:c>
      <x:c r="V149" s="44" t="n">
        <x:v>0</x:v>
      </x:c>
      <x:c r="W149" s="44" t="n">
        <x:v>0</x:v>
      </x:c>
      <x:c r="X149" s="44" t="str">
        <x:v>C04, C07, O04, Y01, Y07, Y10, Y12, Y13, Y14</x:v>
      </x:c>
    </x:row>
    <x:row r="150" ht="40" customHeight="1">
      <x:c r="A150" s="44" t="str">
        <x:v>Methyl Nonyl Ketone 1%</x:v>
      </x:c>
      <x:c r="B150" s="44" t="str">
        <x:v>1% working dilution</x:v>
      </x:c>
      <x:c r="C150" s="46" t="n">
        <x:v>0.01</x:v>
      </x:c>
      <x:c r="D150" s="44" t="str">
        <x:v>Green fruit</x:v>
      </x:c>
      <x:c r="E150" s="44" t="str">
        <x:v>TRACE PREMIX</x:v>
      </x:c>
      <x:c r="F150" s="44" t="n">
        <x:v>21</x:v>
      </x:c>
      <x:c r="G150" s="44" t="n">
        <x:v>21</x:v>
      </x:c>
      <x:c r="H150" s="44" t="str">
        <x:v>Amouage, Prada</x:v>
      </x:c>
      <x:c r="I150" s="48" t="n">
        <x:v>0.44</x:v>
      </x:c>
      <x:c r="J150" s="48" t="n">
        <x:v>1.906</x:v>
      </x:c>
      <x:c r="K150" s="48" t="n">
        <x:v>3.095</x:v>
      </x:c>
      <x:c r="L150" s="48" t="n">
        <x:v>13.778</x:v>
      </x:c>
      <x:c r="M150" s="46" t="n">
        <x:v>0.00043999999999999996</x:v>
      </x:c>
      <x:c r="N150" s="46" t="n">
        <x:v>0.001906</x:v>
      </x:c>
      <x:c r="O150" s="46" t="n">
        <x:v>0.013778000000000002</x:v>
      </x:c>
      <x:c r="P150" s="46" t="n">
        <x:v>0.000132</x:v>
      </x:c>
      <x:c r="Q150" s="46" t="n">
        <x:v>0.0005376000000000001</x:v>
      </x:c>
      <x:c r="R150" s="46" t="n">
        <x:v>0.0041334</x:v>
      </x:c>
      <x:c r="S150" s="46" t="n">
        <x:v>0.00000132</x:v>
      </x:c>
      <x:c r="T150" s="46" t="n">
        <x:v>0.000005376000000000001</x:v>
      </x:c>
      <x:c r="U150" s="46" t="n">
        <x:v>0.000041333999999999994</x:v>
      </x:c>
      <x:c r="V150" s="44" t="n">
        <x:v>0</x:v>
      </x:c>
      <x:c r="W150" s="44" t="n">
        <x:v>0</x:v>
      </x:c>
      <x:c r="X150" s="44" t="str">
        <x:v>AM-E03, AM-E06, AM-E08, AM-E09, AM-E10, AM-E11, AM-L01, AM-L02, AM-L03, AM-L05, AM-L07, AM-L09, AM-N01, AM-N02, AM-N03, AM-N06, AM-N07, AM-N10, AM-N14, AM-N15, PR-N01</x:v>
      </x:c>
    </x:row>
    <x:row r="151" ht="40" customHeight="1">
      <x:c r="A151" s="44" t="str">
        <x:v>Methyl Salicylate</x:v>
      </x:c>
      <x:c r="B151" s="44" t="str">
        <x:v>neat</x:v>
      </x:c>
      <x:c r="C151" s="46" t="n">
        <x:v>1</x:v>
      </x:c>
      <x:c r="D151" s="44" t="str">
        <x:v>Green / fruit</x:v>
      </x:c>
      <x:c r="E151" s="44" t="str">
        <x:v>TRACE PREMIX</x:v>
      </x:c>
      <x:c r="F151" s="44" t="n">
        <x:v>1</x:v>
      </x:c>
      <x:c r="G151" s="44" t="n">
        <x:v>1</x:v>
      </x:c>
      <x:c r="H151" s="44" t="str">
        <x:v>Prada</x:v>
      </x:c>
      <x:c r="I151" s="48" t="n">
        <x:v>0.921</x:v>
      </x:c>
      <x:c r="J151" s="48" t="n">
        <x:v>0.921</x:v>
      </x:c>
      <x:c r="K151" s="48" t="n">
        <x:v>0.921</x:v>
      </x:c>
      <x:c r="L151" s="48" t="n">
        <x:v>0.921</x:v>
      </x:c>
      <x:c r="M151" s="46" t="n">
        <x:v>0.000921</x:v>
      </x:c>
      <x:c r="N151" s="46" t="n">
        <x:v>0.000921</x:v>
      </x:c>
      <x:c r="O151" s="46" t="n">
        <x:v>0.000921</x:v>
      </x:c>
      <x:c r="P151" s="46" t="n">
        <x:v>0.00016578000000000003</x:v>
      </x:c>
      <x:c r="Q151" s="46" t="n">
        <x:v>0.00016578000000000003</x:v>
      </x:c>
      <x:c r="R151" s="46" t="n">
        <x:v>0.00016578000000000003</x:v>
      </x:c>
      <x:c r="S151" s="46" t="n">
        <x:v>0.00016578000000000003</x:v>
      </x:c>
      <x:c r="T151" s="46" t="n">
        <x:v>0.00016578000000000003</x:v>
      </x:c>
      <x:c r="U151" s="46" t="n">
        <x:v>0.00016578000000000003</x:v>
      </x:c>
      <x:c r="V151" s="44" t="n">
        <x:v>0</x:v>
      </x:c>
      <x:c r="W151" s="44" t="n">
        <x:v>0</x:v>
      </x:c>
      <x:c r="X151" s="44" t="str">
        <x:v>PR-E08</x:v>
      </x:c>
    </x:row>
    <x:row r="152" ht="40" customHeight="1">
      <x:c r="A152" s="44" t="str">
        <x:v>Molecule Iris</x:v>
      </x:c>
      <x:c r="B152" s="44" t="str">
        <x:v>as supplied</x:v>
      </x:c>
      <x:c r="C152" s="46" t="n">
        <x:v>1</x:v>
      </x:c>
      <x:c r="D152" s="44" t="str">
        <x:v>orris_violet</x:v>
      </x:c>
      <x:c r="E152" s="44" t="str">
        <x:v>TRACE PREMIX</x:v>
      </x:c>
      <x:c r="F152" s="44" t="n">
        <x:v>35</x:v>
      </x:c>
      <x:c r="G152" s="44" t="n">
        <x:v>35</x:v>
      </x:c>
      <x:c r="H152" s="44" t="str">
        <x:v>Amouage, CHANEL, Dior, Kenny Originals, Prada, YSL</x:v>
      </x:c>
      <x:c r="I152" s="48" t="n">
        <x:v>0.023</x:v>
      </x:c>
      <x:c r="J152" s="48" t="n">
        <x:v>0.567</x:v>
      </x:c>
      <x:c r="K152" s="48" t="n">
        <x:v>2.973171428571429</x:v>
      </x:c>
      <x:c r="L152" s="48" t="n">
        <x:v>11.919</x:v>
      </x:c>
      <x:c r="M152" s="46" t="n">
        <x:v>0.000023</x:v>
      </x:c>
      <x:c r="N152" s="46" t="n">
        <x:v>0.0005669999999999999</x:v>
      </x:c>
      <x:c r="O152" s="46" t="n">
        <x:v>0.011918999999999999</x:v>
      </x:c>
      <x:c r="P152" s="46" t="n">
        <x:v>0.0000046</x:v>
      </x:c>
      <x:c r="Q152" s="46" t="n">
        <x:v>0.00013350000000000002</x:v>
      </x:c>
      <x:c r="R152" s="46" t="n">
        <x:v>0.0037053000000000003</x:v>
      </x:c>
      <x:c r="S152" s="46" t="n">
        <x:v>0.0000046</x:v>
      </x:c>
      <x:c r="T152" s="46" t="n">
        <x:v>0.00013350000000000002</x:v>
      </x:c>
      <x:c r="U152" s="46" t="n">
        <x:v>0.0037053000000000003</x:v>
      </x:c>
      <x:c r="V152" s="44" t="n">
        <x:v>0</x:v>
      </x:c>
      <x:c r="W152" s="44" t="n">
        <x:v>0</x:v>
      </x:c>
      <x:c r="X152" s="44" t="str">
        <x:v>AM-E01, AM-E02, AM-E05, AM-E06, AM-E08, AM-E09, AM-E10, AM-L04, AM-L07, AM-L08, AM-L09, AM-N01, AM-N05, AM-N06, AM-N12, AM-N16, C01, C03, H01, H02, H04, H05, H06, H07, H08, O01, O02, O04, PR-E02, PR-N02, Y09, Y10, Y11, Y12, Y13</x:v>
      </x:c>
    </x:row>
    <x:row r="153" ht="40" customHeight="1">
      <x:c r="A153" s="44" t="str">
        <x:v>Musk Ketone 10%</x:v>
      </x:c>
      <x:c r="B153" s="44" t="str">
        <x:v>10% in DPG</x:v>
      </x:c>
      <x:c r="C153" s="46" t="n">
        <x:v>0.1</x:v>
      </x:c>
      <x:c r="D153" s="44" t="str">
        <x:v>Musk</x:v>
      </x:c>
      <x:c r="E153" s="44" t="str">
        <x:v>PREPARED STOCK</x:v>
      </x:c>
      <x:c r="F153" s="44" t="n">
        <x:v>74</x:v>
      </x:c>
      <x:c r="G153" s="44" t="n">
        <x:v>74</x:v>
      </x:c>
      <x:c r="H153" s="44" t="str">
        <x:v>Amouage, CHANEL, Dior, Prada, YSL</x:v>
      </x:c>
      <x:c r="I153" s="48" t="n">
        <x:v>0.074</x:v>
      </x:c>
      <x:c r="J153" s="48" t="n">
        <x:v>0.7915000000000001</x:v>
      </x:c>
      <x:c r="K153" s="48" t="n">
        <x:v>3.7280945945945945</x:v>
      </x:c>
      <x:c r="L153" s="48" t="n">
        <x:v>52.205</x:v>
      </x:c>
      <x:c r="M153" s="46" t="n">
        <x:v>0.000074</x:v>
      </x:c>
      <x:c r="N153" s="46" t="n">
        <x:v>0.0007915</x:v>
      </x:c>
      <x:c r="O153" s="46" t="n">
        <x:v>0.052204999999999994</x:v>
      </x:c>
      <x:c r="P153" s="46" t="n">
        <x:v>0.000021459999999999994</x:v>
      </x:c>
      <x:c r="Q153" s="46" t="n">
        <x:v>0.000173025</x:v>
      </x:c>
      <x:c r="R153" s="46" t="n">
        <x:v>0.013051249999999999</x:v>
      </x:c>
      <x:c r="S153" s="46" t="n">
        <x:v>0.0000021459999999999994</x:v>
      </x:c>
      <x:c r="T153" s="46" t="n">
        <x:v>0.0000173025</x:v>
      </x:c>
      <x:c r="U153" s="46" t="n">
        <x:v>0.001305125</x:v>
      </x:c>
      <x:c r="V153" s="44" t="n">
        <x:v>0</x:v>
      </x:c>
      <x:c r="W153" s="44" t="n">
        <x:v>0</x:v>
      </x:c>
      <x:c r="X153" s="44" t="str">
        <x:v>AM-E01, AM-E02, AM-E03, AM-E04, AM-E05, AM-E06, AM-E07, AM-E08, AM-E09, AM-E10, AM-E11, AM-E12, AM-E13, AM-E14, AM-E15, AM-E16, AM-L01, AM-L02, AM-L03, AM-L04, AM-L05, AM-L06, AM-L07, AM-L08, AM-L09, AM-N01, AM-N02, AM-N03, AM-N04, AM-N05, AM-N06, AM-N07, AM-N08, AM-N09, AM-N10, AM-N11, AM-N12, AM-N13, AM-N15, AM-N16, C01, H01, H02, H03, H04, H05, H06, H07, H08, H10, H11, H12, H13, H14, H15, PR-E05, PR-E07, PR-E08, PR-L01, PR-L04, PR-N05, PR-N07, PR-N09, PR-N14, S01, S02, S03, S04, S05, S06, S07, S08, Y08, Y12</x:v>
      </x:c>
    </x:row>
    <x:row r="154" ht="40" customHeight="1">
      <x:c r="A154" s="44" t="str">
        <x:v>Myrrh Resinoid 50%</x:v>
      </x:c>
      <x:c r="B154" s="44" t="str">
        <x:v>50% target-required working dilution</x:v>
      </x:c>
      <x:c r="C154" s="46" t="n">
        <x:v>0.5</x:v>
      </x:c>
      <x:c r="D154" s="44" t="str">
        <x:v>Resin / incense</x:v>
      </x:c>
      <x:c r="E154" s="44" t="str">
        <x:v>TARGET REQUIRED / INVENTORY GAP</x:v>
      </x:c>
      <x:c r="F154" s="44" t="n">
        <x:v>7</x:v>
      </x:c>
      <x:c r="G154" s="44" t="n">
        <x:v>7</x:v>
      </x:c>
      <x:c r="H154" s="44" t="str">
        <x:v>Amouage, Prada</x:v>
      </x:c>
      <x:c r="I154" s="48" t="n">
        <x:v>11.475</x:v>
      </x:c>
      <x:c r="J154" s="48" t="n">
        <x:v>23.49</x:v>
      </x:c>
      <x:c r="K154" s="48" t="n">
        <x:v>38.73285714285714</x:v>
      </x:c>
      <x:c r="L154" s="48" t="n">
        <x:v>94.41</x:v>
      </x:c>
      <x:c r="M154" s="46" t="n">
        <x:v>0.011474999999999999</x:v>
      </x:c>
      <x:c r="N154" s="46" t="n">
        <x:v>0.023489999999999997</x:v>
      </x:c>
      <x:c r="O154" s="46" t="n">
        <x:v>0.09441</x:v>
      </x:c>
      <x:c r="P154" s="46" t="n">
        <x:v>0.0020654999999999996</x:v>
      </x:c>
      <x:c r="Q154" s="46" t="n">
        <x:v>0.010570499999999998</x:v>
      </x:c>
      <x:c r="R154" s="46" t="n">
        <x:v>0.028322999999999997</x:v>
      </x:c>
      <x:c r="S154" s="46" t="n">
        <x:v>0.0010327499999999998</x:v>
      </x:c>
      <x:c r="T154" s="46" t="n">
        <x:v>0.005285249999999999</x:v>
      </x:c>
      <x:c r="U154" s="46" t="n">
        <x:v>0.014161499999999999</x:v>
      </x:c>
      <x:c r="V154" s="44" t="n">
        <x:v>7</x:v>
      </x:c>
      <x:c r="W154" s="44" t="n">
        <x:v>0</x:v>
      </x:c>
      <x:c r="X154" s="44" t="str">
        <x:v>AM-E07, AM-E10, AM-N02, AM-N05, AM-N14, AM-N16, PR-E08</x:v>
      </x:c>
    </x:row>
    <x:row r="155" ht="40" customHeight="1">
      <x:c r="A155" s="44" t="str">
        <x:v>Neroli EO</x:v>
      </x:c>
      <x:c r="B155" s="44" t="str">
        <x:v>neat / as supplied</x:v>
      </x:c>
      <x:c r="C155" s="46" t="n">
        <x:v>1</x:v>
      </x:c>
      <x:c r="D155" s="44" t="str">
        <x:v>Floral air</x:v>
      </x:c>
      <x:c r="E155" s="44" t="str">
        <x:v>DIRECT</x:v>
      </x:c>
      <x:c r="F155" s="44" t="n">
        <x:v>4</x:v>
      </x:c>
      <x:c r="G155" s="44" t="n">
        <x:v>4</x:v>
      </x:c>
      <x:c r="H155" s="44" t="str">
        <x:v>Prada</x:v>
      </x:c>
      <x:c r="I155" s="48" t="n">
        <x:v>0.824</x:v>
      </x:c>
      <x:c r="J155" s="48" t="n">
        <x:v>1.4845</x:v>
      </x:c>
      <x:c r="K155" s="48" t="n">
        <x:v>4.98775</x:v>
      </x:c>
      <x:c r="L155" s="48" t="n">
        <x:v>16.158</x:v>
      </x:c>
      <x:c r="M155" s="46" t="n">
        <x:v>0.000824</x:v>
      </x:c>
      <x:c r="N155" s="46" t="n">
        <x:v>0.0014845</x:v>
      </x:c>
      <x:c r="O155" s="46" t="n">
        <x:v>0.016158000000000002</x:v>
      </x:c>
      <x:c r="P155" s="46" t="n">
        <x:v>0.0001236</x:v>
      </x:c>
      <x:c r="Q155" s="46" t="n">
        <x:v>0.000258155</x:v>
      </x:c>
      <x:c r="R155" s="46" t="n">
        <x:v>0.0024237000000000004</x:v>
      </x:c>
      <x:c r="S155" s="46" t="n">
        <x:v>0.0001236</x:v>
      </x:c>
      <x:c r="T155" s="46" t="n">
        <x:v>0.000258155</x:v>
      </x:c>
      <x:c r="U155" s="46" t="n">
        <x:v>0.0024237000000000004</x:v>
      </x:c>
      <x:c r="V155" s="44" t="n">
        <x:v>0</x:v>
      </x:c>
      <x:c r="W155" s="44" t="n">
        <x:v>0</x:v>
      </x:c>
      <x:c r="X155" s="44" t="str">
        <x:v>PR-E01, PR-L04, PR-L05, PR-N04</x:v>
      </x:c>
    </x:row>
    <x:row r="156" ht="40" customHeight="1">
      <x:c r="A156" s="44" t="str">
        <x:v>Neroli EO 10%</x:v>
      </x:c>
      <x:c r="B156" s="44" t="str">
        <x:v>10% working stock</x:v>
      </x:c>
      <x:c r="C156" s="46" t="n">
        <x:v>0.1</x:v>
      </x:c>
      <x:c r="D156" s="44" t="str">
        <x:v>air_floral</x:v>
      </x:c>
      <x:c r="E156" s="44" t="str">
        <x:v>PREPARED STOCK</x:v>
      </x:c>
      <x:c r="F156" s="44" t="n">
        <x:v>14</x:v>
      </x:c>
      <x:c r="G156" s="44" t="n">
        <x:v>14</x:v>
      </x:c>
      <x:c r="H156" s="44" t="str">
        <x:v>Dior, Kenny Originals, Prada, YSL</x:v>
      </x:c>
      <x:c r="I156" s="48" t="n">
        <x:v>7.416</x:v>
      </x:c>
      <x:c r="J156" s="48" t="n">
        <x:v>64.2885</x:v>
      </x:c>
      <x:c r="K156" s="48" t="n">
        <x:v>73.098</x:v>
      </x:c>
      <x:c r="L156" s="48" t="n">
        <x:v>179.998</x:v>
      </x:c>
      <x:c r="M156" s="46" t="n">
        <x:v>0.007416000000000001</x:v>
      </x:c>
      <x:c r="N156" s="46" t="n">
        <x:v>0.0642885</x:v>
      </x:c>
      <x:c r="O156" s="46" t="n">
        <x:v>0.179998</x:v>
      </x:c>
      <x:c r="P156" s="46" t="n">
        <x:v>0.0011124000000000002</x:v>
      </x:c>
      <x:c r="Q156" s="46" t="n">
        <x:v>0.011530275</x:v>
      </x:c>
      <x:c r="R156" s="46" t="n">
        <x:v>0.0359996</x:v>
      </x:c>
      <x:c r="S156" s="46" t="n">
        <x:v>0.00011124000000000003</x:v>
      </x:c>
      <x:c r="T156" s="46" t="n">
        <x:v>0.0011530275</x:v>
      </x:c>
      <x:c r="U156" s="46" t="n">
        <x:v>0.0035999600000000006</x:v>
      </x:c>
      <x:c r="V156" s="44" t="n">
        <x:v>0</x:v>
      </x:c>
      <x:c r="W156" s="44" t="n">
        <x:v>0</x:v>
      </x:c>
      <x:c r="X156" s="44" t="str">
        <x:v>H08, H09, H10, O02, PR-E08, PR-L03, PR-L04, PR-L05, PR-N04, PR-N05, PR-N11, PR-N13, Y03, Y04</x:v>
      </x:c>
    </x:row>
    <x:row r="157" ht="40" customHeight="1">
      <x:c r="A157" s="44" t="str">
        <x:v>Norlimbanol Dextro 10%</x:v>
      </x:c>
      <x:c r="B157" s="44" t="str">
        <x:v>10% in DEP</x:v>
      </x:c>
      <x:c r="C157" s="46" t="n">
        <x:v>0.1</x:v>
      </x:c>
      <x:c r="D157" s="44" t="str">
        <x:v>Woods / amber</x:v>
      </x:c>
      <x:c r="E157" s="44" t="str">
        <x:v>PREPARED STOCK</x:v>
      </x:c>
      <x:c r="F157" s="44" t="n">
        <x:v>49</x:v>
      </x:c>
      <x:c r="G157" s="44" t="n">
        <x:v>49</x:v>
      </x:c>
      <x:c r="H157" s="44" t="str">
        <x:v>Amouage, CHANEL, Prada, YSL</x:v>
      </x:c>
      <x:c r="I157" s="48" t="n">
        <x:v>0.442</x:v>
      </x:c>
      <x:c r="J157" s="48" t="n">
        <x:v>2.581</x:v>
      </x:c>
      <x:c r="K157" s="48" t="n">
        <x:v>3.648061224489796</x:v>
      </x:c>
      <x:c r="L157" s="48" t="n">
        <x:v>20.003</x:v>
      </x:c>
      <x:c r="M157" s="46" t="n">
        <x:v>0.000442</x:v>
      </x:c>
      <x:c r="N157" s="46" t="n">
        <x:v>0.002581</x:v>
      </x:c>
      <x:c r="O157" s="46" t="n">
        <x:v>0.020003000000000003</x:v>
      </x:c>
      <x:c r="P157" s="46" t="n">
        <x:v>0.0001105</x:v>
      </x:c>
      <x:c r="Q157" s="46" t="n">
        <x:v>0.0007242000000000001</x:v>
      </x:c>
      <x:c r="R157" s="46" t="n">
        <x:v>0.005000750000000001</x:v>
      </x:c>
      <x:c r="S157" s="46" t="n">
        <x:v>0.000011050000000000001</x:v>
      </x:c>
      <x:c r="T157" s="46" t="n">
        <x:v>0.00007242000000000001</x:v>
      </x:c>
      <x:c r="U157" s="46" t="n">
        <x:v>0.0005000750000000001</x:v>
      </x:c>
      <x:c r="V157" s="44" t="n">
        <x:v>0</x:v>
      </x:c>
      <x:c r="W157" s="44" t="n">
        <x:v>0</x:v>
      </x:c>
      <x:c r="X157" s="44" t="str">
        <x:v>AM-E01, AM-E02, AM-E03, AM-E04, AM-E05, AM-E06, AM-E07, AM-E08, AM-E09, AM-E10, AM-E11, AM-E12, AM-E13, AM-E14, AM-E15, AM-E16, AM-L01, AM-L02, AM-L03, AM-L04, AM-L05, AM-L06, AM-L07, AM-L08, AM-L09, AM-N01, AM-N02, AM-N03, AM-N04, AM-N05, AM-N06, AM-N07, AM-N08, AM-N09, AM-N10, AM-N11, AM-N12, AM-N13, AM-N14, AM-N15, AM-N16, C07, C08, PR-E03, PR-E06, PR-N01, PR-N06, PR-N09, Y01</x:v>
      </x:c>
    </x:row>
    <x:row r="158" ht="40" customHeight="1">
      <x:c r="A158" s="44" t="str">
        <x:v>Nutmeg EO</x:v>
      </x:c>
      <x:c r="B158" s="44" t="str">
        <x:v>neat</x:v>
      </x:c>
      <x:c r="C158" s="46" t="n">
        <x:v>1</x:v>
      </x:c>
      <x:c r="D158" s="44" t="str">
        <x:v>Spice</x:v>
      </x:c>
      <x:c r="E158" s="44" t="str">
        <x:v>DIRECT</x:v>
      </x:c>
      <x:c r="F158" s="44" t="n">
        <x:v>44</x:v>
      </x:c>
      <x:c r="G158" s="44" t="n">
        <x:v>44</x:v>
      </x:c>
      <x:c r="H158" s="44" t="str">
        <x:v>Amouage, Prada, YSL</x:v>
      </x:c>
      <x:c r="I158" s="48" t="n">
        <x:v>0.325</x:v>
      </x:c>
      <x:c r="J158" s="48" t="n">
        <x:v>3.2325</x:v>
      </x:c>
      <x:c r="K158" s="48" t="n">
        <x:v>4.342795454545454</x:v>
      </x:c>
      <x:c r="L158" s="48" t="n">
        <x:v>16.245</x:v>
      </x:c>
      <x:c r="M158" s="46" t="n">
        <x:v>0.000325</x:v>
      </x:c>
      <x:c r="N158" s="46" t="n">
        <x:v>0.0032325000000000006</x:v>
      </x:c>
      <x:c r="O158" s="46" t="n">
        <x:v>0.016245</x:v>
      </x:c>
      <x:c r="P158" s="46" t="n">
        <x:v>0.00008125</x:v>
      </x:c>
      <x:c r="Q158" s="46" t="n">
        <x:v>0.0008223749999999999</x:v>
      </x:c>
      <x:c r="R158" s="46" t="n">
        <x:v>0.0036880000000000003</x:v>
      </x:c>
      <x:c r="S158" s="46" t="n">
        <x:v>0.00008125</x:v>
      </x:c>
      <x:c r="T158" s="46" t="n">
        <x:v>0.0008223749999999999</x:v>
      </x:c>
      <x:c r="U158" s="46" t="n">
        <x:v>0.0036880000000000003</x:v>
      </x:c>
      <x:c r="V158" s="44" t="n">
        <x:v>0</x:v>
      </x:c>
      <x:c r="W158" s="44" t="n">
        <x:v>0</x:v>
      </x:c>
      <x:c r="X158" s="44" t="str">
        <x:v>AM-E01, AM-E02, AM-E03, AM-E04, AM-E05, AM-E06, AM-E07, AM-E08, AM-E09, AM-E10, AM-E11, AM-E12, AM-E13, AM-E14, AM-E15, AM-E16, AM-L01, AM-L02, AM-L03, AM-L04, AM-L05, AM-L06, AM-L07, AM-L08, AM-L09, AM-N01, AM-N02, AM-N03, AM-N04, AM-N05, AM-N06, AM-N07, AM-N08, AM-N09, AM-N10, AM-N11, AM-N12, AM-N13, AM-N14, AM-N15, AM-N16, PR-N12, Y01, Y08</x:v>
      </x:c>
    </x:row>
    <x:row r="159" ht="40" customHeight="1">
      <x:c r="A159" s="44" t="str">
        <x:v>Nympheal</x:v>
      </x:c>
      <x:c r="B159" s="44" t="str">
        <x:v>as supplied; product basis</x:v>
      </x:c>
      <x:c r="C159" s="46" t="n">
        <x:v>1</x:v>
      </x:c>
      <x:c r="D159" s="44" t="str">
        <x:v>air_floral</x:v>
      </x:c>
      <x:c r="E159" s="44" t="str">
        <x:v>PRODUCT BASIS</x:v>
      </x:c>
      <x:c r="F159" s="44" t="n">
        <x:v>78</x:v>
      </x:c>
      <x:c r="G159" s="44" t="n">
        <x:v>78</x:v>
      </x:c>
      <x:c r="H159" s="44" t="str">
        <x:v>Amouage, CHANEL, Dior, Kenny Originals, Prada, YSL</x:v>
      </x:c>
      <x:c r="I159" s="48" t="n">
        <x:v>0.075</x:v>
      </x:c>
      <x:c r="J159" s="48" t="n">
        <x:v>2.341</x:v>
      </x:c>
      <x:c r="K159" s="48" t="n">
        <x:v>4.456474358974359</x:v>
      </x:c>
      <x:c r="L159" s="48" t="n">
        <x:v>37.981</x:v>
      </x:c>
      <x:c r="M159" s="46" t="n">
        <x:v>0.000075</x:v>
      </x:c>
      <x:c r="N159" s="46" t="n">
        <x:v>0.0023409999999999998</x:v>
      </x:c>
      <x:c r="O159" s="46" t="n">
        <x:v>0.037981</x:v>
      </x:c>
      <x:c r="P159" s="46" t="n">
        <x:v>0.00001512</x:v>
      </x:c>
      <x:c r="Q159" s="46" t="n">
        <x:v>0.0005443900000000001</x:v>
      </x:c>
      <x:c r="R159" s="46" t="n">
        <x:v>0.00569715</x:v>
      </x:c>
      <x:c r="S159" s="46" t="n">
        <x:v>0.00001512</x:v>
      </x:c>
      <x:c r="T159" s="46" t="n">
        <x:v>0.0005443900000000001</x:v>
      </x:c>
      <x:c r="U159" s="46" t="n">
        <x:v>0.00569715</x:v>
      </x:c>
      <x:c r="V159" s="44" t="n">
        <x:v>0</x:v>
      </x:c>
      <x:c r="W159" s="44" t="n">
        <x:v>0</x:v>
      </x:c>
      <x:c r="X159" s="44" t="str">
        <x:v>AM-E01, AM-E02, AM-E03, AM-E04, AM-E05, AM-E06, AM-E07, AM-E08, AM-E09, AM-E10, AM-E11, AM-E12, AM-E13, AM-E14, AM-E15, AM-L01, AM-L02, AM-L03, AM-L04, AM-L05, AM-L06, AM-L07, AM-L08, AM-L09, AM-N01, AM-N02, AM-N03, AM-N04, AM-N05, AM-N06, AM-N07, AM-N08, AM-N09, AM-N11, AM-N12, AM-N13, AM-N14, AM-N15, AM-N16, C02, C03, C04, C05, C06, C07, H01, H02, H03, H04, H05, H06, H07, H09, H10, H11, H12, O01, O02, O03, O05, O06, PR-E01, PR-E02, PR-E04, PR-E07, PR-L03, PR-L05, PR-N01, PR-N03, PR-N04, S07, Y01, Y03, Y04, Y05, Y06, Y12, Y14</x:v>
      </x:c>
    </x:row>
    <x:row r="160" ht="40" customHeight="1">
      <x:c r="A160" s="44" t="str">
        <x:v>Oakmoss Absolute 10%</x:v>
      </x:c>
      <x:c r="B160" s="44" t="str">
        <x:v>10% working stock</x:v>
      </x:c>
      <x:c r="C160" s="46" t="n">
        <x:v>0.1</x:v>
      </x:c>
      <x:c r="D160" s="44" t="str">
        <x:v>resin_incense</x:v>
      </x:c>
      <x:c r="E160" s="44" t="str">
        <x:v>PREPARED STOCK</x:v>
      </x:c>
      <x:c r="F160" s="44" t="n">
        <x:v>5</x:v>
      </x:c>
      <x:c r="G160" s="44" t="n">
        <x:v>5</x:v>
      </x:c>
      <x:c r="H160" s="44" t="str">
        <x:v>Amouage, CHANEL, Kenny Originals</x:v>
      </x:c>
      <x:c r="I160" s="48" t="n">
        <x:v>3.847</x:v>
      </x:c>
      <x:c r="J160" s="48" t="n">
        <x:v>28.74</x:v>
      </x:c>
      <x:c r="K160" s="48" t="n">
        <x:v>42.3042</x:v>
      </x:c>
      <x:c r="L160" s="48" t="n">
        <x:v>111.353</x:v>
      </x:c>
      <x:c r="M160" s="46" t="n">
        <x:v>0.0038469999999999997</x:v>
      </x:c>
      <x:c r="N160" s="46" t="n">
        <x:v>0.028739999999999998</x:v>
      </x:c>
      <x:c r="O160" s="46" t="n">
        <x:v>0.111353</x:v>
      </x:c>
      <x:c r="P160" s="46" t="n">
        <x:v>0.0011541</x:v>
      </x:c>
      <x:c r="Q160" s="46" t="n">
        <x:v>0.006768</x:v>
      </x:c>
      <x:c r="R160" s="46" t="n">
        <x:v>0.024497659999999997</x:v>
      </x:c>
      <x:c r="S160" s="46" t="n">
        <x:v>0.00011541</x:v>
      </x:c>
      <x:c r="T160" s="46" t="n">
        <x:v>0.0006768000000000001</x:v>
      </x:c>
      <x:c r="U160" s="46" t="n">
        <x:v>0.002449766</x:v>
      </x:c>
      <x:c r="V160" s="44" t="n">
        <x:v>0</x:v>
      </x:c>
      <x:c r="W160" s="44" t="n">
        <x:v>0</x:v>
      </x:c>
      <x:c r="X160" s="44" t="str">
        <x:v>AM-E05, AM-L05, AM-N05, C08, O06</x:v>
      </x:c>
    </x:row>
    <x:row r="161" ht="40" customHeight="1">
      <x:c r="A161" s="44" t="str">
        <x:v>Oakwood CO2 10%</x:v>
      </x:c>
      <x:c r="B161" s="44" t="str">
        <x:v>10% target-required working dilution</x:v>
      </x:c>
      <x:c r="C161" s="46" t="n">
        <x:v>0.1</x:v>
      </x:c>
      <x:c r="D161" s="44" t="str">
        <x:v>Woods / amber</x:v>
      </x:c>
      <x:c r="E161" s="44" t="str">
        <x:v>TARGET REQUIRED / INVENTORY GAP</x:v>
      </x:c>
      <x:c r="F161" s="44" t="n">
        <x:v>4</x:v>
      </x:c>
      <x:c r="G161" s="44" t="n">
        <x:v>4</x:v>
      </x:c>
      <x:c r="H161" s="44" t="str">
        <x:v>Amouage, Prada</x:v>
      </x:c>
      <x:c r="I161" s="48" t="n">
        <x:v>47.418</x:v>
      </x:c>
      <x:c r="J161" s="48" t="n">
        <x:v>52.206</x:v>
      </x:c>
      <x:c r="K161" s="48" t="n">
        <x:v>52.49825</x:v>
      </x:c>
      <x:c r="L161" s="48" t="n">
        <x:v>58.163</x:v>
      </x:c>
      <x:c r="M161" s="46" t="n">
        <x:v>0.047417999999999995</x:v>
      </x:c>
      <x:c r="N161" s="46" t="n">
        <x:v>0.052206</x:v>
      </x:c>
      <x:c r="O161" s="46" t="n">
        <x:v>0.058163</x:v>
      </x:c>
      <x:c r="P161" s="46" t="n">
        <x:v>0.012295500000000001</x:v>
      </x:c>
      <x:c r="Q161" s="46" t="n">
        <x:v>0.014383075</x:v>
      </x:c>
      <x:c r="R161" s="46" t="n">
        <x:v>0.019330499999999997</x:v>
      </x:c>
      <x:c r="S161" s="46" t="n">
        <x:v>0.0012295500000000003</x:v>
      </x:c>
      <x:c r="T161" s="46" t="n">
        <x:v>0.0014383075000000002</x:v>
      </x:c>
      <x:c r="U161" s="46" t="n">
        <x:v>0.0019330499999999997</x:v>
      </x:c>
      <x:c r="V161" s="44" t="n">
        <x:v>4</x:v>
      </x:c>
      <x:c r="W161" s="44" t="n">
        <x:v>0</x:v>
      </x:c>
      <x:c r="X161" s="44" t="str">
        <x:v>AM-N09, AM-N10, AM-N15, PR-E07</x:v>
      </x:c>
    </x:row>
    <x:row r="162" ht="40" customHeight="1">
      <x:c r="A162" s="44" t="str">
        <x:v>Olibanum 50%</x:v>
      </x:c>
      <x:c r="B162" s="44" t="str">
        <x:v>50% in DPG</x:v>
      </x:c>
      <x:c r="C162" s="46" t="n">
        <x:v>0.5</x:v>
      </x:c>
      <x:c r="D162" s="44" t="str">
        <x:v>Resin / incense</x:v>
      </x:c>
      <x:c r="E162" s="44" t="str">
        <x:v>PREPARED STOCK</x:v>
      </x:c>
      <x:c r="F162" s="44" t="n">
        <x:v>73</x:v>
      </x:c>
      <x:c r="G162" s="44" t="n">
        <x:v>73</x:v>
      </x:c>
      <x:c r="H162" s="44" t="str">
        <x:v>Amouage, CHANEL, Dior, Kenny Originals, Prada, YSL</x:v>
      </x:c>
      <x:c r="I162" s="48" t="n">
        <x:v>0.523</x:v>
      </x:c>
      <x:c r="J162" s="48" t="n">
        <x:v>33.216</x:v>
      </x:c>
      <x:c r="K162" s="48" t="n">
        <x:v>51.80280821917808</x:v>
      </x:c>
      <x:c r="L162" s="48" t="n">
        <x:v>200</x:v>
      </x:c>
      <x:c r="M162" s="46" t="n">
        <x:v>0.000523</x:v>
      </x:c>
      <x:c r="N162" s="46" t="n">
        <x:v>0.033216</x:v>
      </x:c>
      <x:c r="O162" s="46" t="n">
        <x:v>0.2</x:v>
      </x:c>
      <x:c r="P162" s="46" t="n">
        <x:v>0.00013075</x:v>
      </x:c>
      <x:c r="Q162" s="46" t="n">
        <x:v>0.008079300000000001</x:v>
      </x:c>
      <x:c r="R162" s="46" t="n">
        <x:v>0.064678</x:v>
      </x:c>
      <x:c r="S162" s="46" t="n">
        <x:v>0.000065375</x:v>
      </x:c>
      <x:c r="T162" s="46" t="n">
        <x:v>0.0040396500000000005</x:v>
      </x:c>
      <x:c r="U162" s="46" t="n">
        <x:v>0.032339</x:v>
      </x:c>
      <x:c r="V162" s="44" t="n">
        <x:v>0</x:v>
      </x:c>
      <x:c r="W162" s="44" t="n">
        <x:v>0</x:v>
      </x:c>
      <x:c r="X162" s="44" t="str">
        <x:v>AM-E01, AM-E02, AM-E03, AM-E04, AM-E05, AM-E06, AM-E07, AM-E08, AM-E09, AM-E10, AM-E11, AM-E12, AM-E13, AM-E14, AM-E15, AM-E16, AM-L01, AM-L02, AM-L03, AM-L04, AM-L05, AM-L06, AM-L07, AM-L08, AM-L09, AM-N01, AM-N02, AM-N03, AM-N04, AM-N05, AM-N06, AM-N07, AM-N08, AM-N09, AM-N10, AM-N11, AM-N12, AM-N13, AM-N14, AM-N15, AM-N16, C07, C08, H01, H02, H03, H08, H11, H14, H15, O04, O05, PR-E04, PR-E06, PR-E07, PR-E08, PR-E09, PR-L03, PR-N05, PR-N06, PR-N07, PR-N09, PR-N10, PR-N13, S01, S02, S04, S07, S08, Y01, Y08, Y09, Y11</x:v>
      </x:c>
    </x:row>
    <x:row r="163" ht="40" customHeight="1">
      <x:c r="A163" s="44" t="str">
        <x:v>Opoponax Resinoid 50%</x:v>
      </x:c>
      <x:c r="B163" s="44" t="str">
        <x:v>50% target-required working dilution</x:v>
      </x:c>
      <x:c r="C163" s="46" t="n">
        <x:v>0.5</x:v>
      </x:c>
      <x:c r="D163" s="44" t="str">
        <x:v>Resin / incense</x:v>
      </x:c>
      <x:c r="E163" s="44" t="str">
        <x:v>TARGET REQUIRED / INVENTORY GAP</x:v>
      </x:c>
      <x:c r="F163" s="44" t="n">
        <x:v>1</x:v>
      </x:c>
      <x:c r="G163" s="44" t="n">
        <x:v>1</x:v>
      </x:c>
      <x:c r="H163" s="44" t="str">
        <x:v>Amouage</x:v>
      </x:c>
      <x:c r="I163" s="48" t="n">
        <x:v>9.484</x:v>
      </x:c>
      <x:c r="J163" s="48" t="n">
        <x:v>9.484</x:v>
      </x:c>
      <x:c r="K163" s="48" t="n">
        <x:v>9.484</x:v>
      </x:c>
      <x:c r="L163" s="48" t="n">
        <x:v>9.484</x:v>
      </x:c>
      <x:c r="M163" s="46" t="n">
        <x:v>0.009484</x:v>
      </x:c>
      <x:c r="N163" s="46" t="n">
        <x:v>0.009484</x:v>
      </x:c>
      <x:c r="O163" s="46" t="n">
        <x:v>0.009484</x:v>
      </x:c>
      <x:c r="P163" s="46" t="n">
        <x:v>0.0028452</x:v>
      </x:c>
      <x:c r="Q163" s="46" t="n">
        <x:v>0.0028452</x:v>
      </x:c>
      <x:c r="R163" s="46" t="n">
        <x:v>0.0028452</x:v>
      </x:c>
      <x:c r="S163" s="46" t="n">
        <x:v>0.0014226</x:v>
      </x:c>
      <x:c r="T163" s="46" t="n">
        <x:v>0.0014226</x:v>
      </x:c>
      <x:c r="U163" s="46" t="n">
        <x:v>0.0014226</x:v>
      </x:c>
      <x:c r="V163" s="44" t="n">
        <x:v>1</x:v>
      </x:c>
      <x:c r="W163" s="44" t="n">
        <x:v>0</x:v>
      </x:c>
      <x:c r="X163" s="44" t="str">
        <x:v>AM-N15</x:v>
      </x:c>
    </x:row>
    <x:row r="164" ht="40" customHeight="1">
      <x:c r="A164" s="44" t="str">
        <x:v>Orange Blossom Absolute 10%</x:v>
      </x:c>
      <x:c r="B164" s="44" t="str">
        <x:v>10% target-required working dilution</x:v>
      </x:c>
      <x:c r="C164" s="46" t="n">
        <x:v>0.1</x:v>
      </x:c>
      <x:c r="D164" s="44" t="str">
        <x:v>Air floral</x:v>
      </x:c>
      <x:c r="E164" s="44" t="str">
        <x:v>TARGET REQUIRED / INVENTORY GAP</x:v>
      </x:c>
      <x:c r="F164" s="44" t="n">
        <x:v>3</x:v>
      </x:c>
      <x:c r="G164" s="44" t="n">
        <x:v>3</x:v>
      </x:c>
      <x:c r="H164" s="44" t="str">
        <x:v>Amouage, YSL</x:v>
      </x:c>
      <x:c r="I164" s="48" t="n">
        <x:v>12.14</x:v>
      </x:c>
      <x:c r="J164" s="48" t="n">
        <x:v>52.578</x:v>
      </x:c>
      <x:c r="K164" s="48" t="n">
        <x:v>39.35</x:v>
      </x:c>
      <x:c r="L164" s="48" t="n">
        <x:v>53.332</x:v>
      </x:c>
      <x:c r="M164" s="46" t="n">
        <x:v>0.01214</x:v>
      </x:c>
      <x:c r="N164" s="46" t="n">
        <x:v>0.05257800000000001</x:v>
      </x:c>
      <x:c r="O164" s="46" t="n">
        <x:v>0.053332</x:v>
      </x:c>
      <x:c r="P164" s="46" t="n">
        <x:v>0.0026708000000000005</x:v>
      </x:c>
      <x:c r="Q164" s="46" t="n">
        <x:v>0.0105156</x:v>
      </x:c>
      <x:c r="R164" s="46" t="n">
        <x:v>0.0159996</x:v>
      </x:c>
      <x:c r="S164" s="46" t="n">
        <x:v>0.00026708000000000005</x:v>
      </x:c>
      <x:c r="T164" s="46" t="n">
        <x:v>0.0010515600000000002</x:v>
      </x:c>
      <x:c r="U164" s="46" t="n">
        <x:v>0.00159996</x:v>
      </x:c>
      <x:c r="V164" s="44" t="n">
        <x:v>3</x:v>
      </x:c>
      <x:c r="W164" s="44" t="n">
        <x:v>0</x:v>
      </x:c>
      <x:c r="X164" s="44" t="str">
        <x:v>AM-N15, Y03, Y04</x:v>
      </x:c>
    </x:row>
    <x:row r="165" ht="40" customHeight="1">
      <x:c r="A165" s="44" t="str">
        <x:v>Oregano EO 10%</x:v>
      </x:c>
      <x:c r="B165" s="44" t="str">
        <x:v>10% target-required working dilution</x:v>
      </x:c>
      <x:c r="C165" s="46" t="n">
        <x:v>0.1</x:v>
      </x:c>
      <x:c r="D165" s="44" t="str">
        <x:v>Aromatic top</x:v>
      </x:c>
      <x:c r="E165" s="44" t="str">
        <x:v>TARGET REQUIRED / INVENTORY GAP</x:v>
      </x:c>
      <x:c r="F165" s="44" t="n">
        <x:v>1</x:v>
      </x:c>
      <x:c r="G165" s="44" t="n">
        <x:v>1</x:v>
      </x:c>
      <x:c r="H165" s="44" t="str">
        <x:v>Amouage</x:v>
      </x:c>
      <x:c r="I165" s="48" t="n">
        <x:v>31.59</x:v>
      </x:c>
      <x:c r="J165" s="48" t="n">
        <x:v>31.59</x:v>
      </x:c>
      <x:c r="K165" s="48" t="n">
        <x:v>31.59</x:v>
      </x:c>
      <x:c r="L165" s="48" t="n">
        <x:v>31.59</x:v>
      </x:c>
      <x:c r="M165" s="46" t="n">
        <x:v>0.03159</x:v>
      </x:c>
      <x:c r="N165" s="46" t="n">
        <x:v>0.03159</x:v>
      </x:c>
      <x:c r="O165" s="46" t="n">
        <x:v>0.03159</x:v>
      </x:c>
      <x:c r="P165" s="46" t="n">
        <x:v>0.0091611</x:v>
      </x:c>
      <x:c r="Q165" s="46" t="n">
        <x:v>0.0091611</x:v>
      </x:c>
      <x:c r="R165" s="46" t="n">
        <x:v>0.0091611</x:v>
      </x:c>
      <x:c r="S165" s="46" t="n">
        <x:v>0.0009161099999999999</x:v>
      </x:c>
      <x:c r="T165" s="46" t="n">
        <x:v>0.0009161099999999999</x:v>
      </x:c>
      <x:c r="U165" s="46" t="n">
        <x:v>0.0009161099999999999</x:v>
      </x:c>
      <x:c r="V165" s="44" t="n">
        <x:v>1</x:v>
      </x:c>
      <x:c r="W165" s="44" t="n">
        <x:v>0</x:v>
      </x:c>
      <x:c r="X165" s="44" t="str">
        <x:v>AM-E03</x:v>
      </x:c>
    </x:row>
    <x:row r="166" ht="40" customHeight="1">
      <x:c r="A166" s="44" t="str">
        <x:v>Orivone</x:v>
      </x:c>
      <x:c r="B166" s="44" t="str">
        <x:v>neat</x:v>
      </x:c>
      <x:c r="C166" s="46" t="n">
        <x:v>1</x:v>
      </x:c>
      <x:c r="D166" s="44" t="str">
        <x:v>Iris / violet</x:v>
      </x:c>
      <x:c r="E166" s="44" t="str">
        <x:v>DIRECT</x:v>
      </x:c>
      <x:c r="F166" s="44" t="n">
        <x:v>41</x:v>
      </x:c>
      <x:c r="G166" s="44" t="n">
        <x:v>41</x:v>
      </x:c>
      <x:c r="H166" s="44" t="str">
        <x:v>Amouage, Dior, Kenny Originals, Prada, YSL</x:v>
      </x:c>
      <x:c r="I166" s="48" t="n">
        <x:v>0.297</x:v>
      </x:c>
      <x:c r="J166" s="48" t="n">
        <x:v>4.885</x:v>
      </x:c>
      <x:c r="K166" s="48" t="n">
        <x:v>8.768024390243902</x:v>
      </x:c>
      <x:c r="L166" s="48" t="n">
        <x:v>40.445</x:v>
      </x:c>
      <x:c r="M166" s="46" t="n">
        <x:v>0.00029699999999999996</x:v>
      </x:c>
      <x:c r="N166" s="46" t="n">
        <x:v>0.004885</x:v>
      </x:c>
      <x:c r="O166" s="46" t="n">
        <x:v>0.040445</x:v>
      </x:c>
      <x:c r="P166" s="46" t="n">
        <x:v>0.00007199</x:v>
      </x:c>
      <x:c r="Q166" s="46" t="n">
        <x:v>0.0008918999999999999</x:v>
      </x:c>
      <x:c r="R166" s="46" t="n">
        <x:v>0.008892900000000002</x:v>
      </x:c>
      <x:c r="S166" s="46" t="n">
        <x:v>0.00007199</x:v>
      </x:c>
      <x:c r="T166" s="46" t="n">
        <x:v>0.0008918999999999999</x:v>
      </x:c>
      <x:c r="U166" s="46" t="n">
        <x:v>0.008892900000000002</x:v>
      </x:c>
      <x:c r="V166" s="44" t="n">
        <x:v>0</x:v>
      </x:c>
      <x:c r="W166" s="44" t="n">
        <x:v>0</x:v>
      </x:c>
      <x:c r="X166" s="44" t="str">
        <x:v>AM-E01, AM-E02, AM-E05, AM-E06, AM-E08, AM-E09, AM-E10, AM-L04, AM-L07, AM-L08, AM-L09, AM-N01, AM-N04, AM-N05, AM-N06, AM-N12, AM-N13, AM-N16, H01, H02, H04, H05, H06, H07, H08, H10, H12, O01, O02, O04, O05, PR-E02, PR-L03, PR-L04, PR-L05, PR-N02, PR-N03, PR-N04, PR-N11, Y09, Y11</x:v>
      </x:c>
    </x:row>
    <x:row r="167" ht="40" customHeight="1">
      <x:c r="A167" s="44" t="str">
        <x:v>Orris Liquid 30%</x:v>
      </x:c>
      <x:c r="B167" s="44" t="str">
        <x:v>30% product stock</x:v>
      </x:c>
      <x:c r="C167" s="46" t="n">
        <x:v>0.3</x:v>
      </x:c>
      <x:c r="D167" s="44" t="str">
        <x:v>orris_violet</x:v>
      </x:c>
      <x:c r="E167" s="44" t="str">
        <x:v>PRODUCT BASIS</x:v>
      </x:c>
      <x:c r="F167" s="44" t="n">
        <x:v>33</x:v>
      </x:c>
      <x:c r="G167" s="44" t="n">
        <x:v>33</x:v>
      </x:c>
      <x:c r="H167" s="44" t="str">
        <x:v>Amouage, Dior, Kenny Originals, Prada, YSL</x:v>
      </x:c>
      <x:c r="I167" s="48" t="n">
        <x:v>0.254</x:v>
      </x:c>
      <x:c r="J167" s="48" t="n">
        <x:v>12.115</x:v>
      </x:c>
      <x:c r="K167" s="48" t="n">
        <x:v>19.48</x:v>
      </x:c>
      <x:c r="L167" s="48" t="n">
        <x:v>91.122</x:v>
      </x:c>
      <x:c r="M167" s="46" t="n">
        <x:v>0.000254</x:v>
      </x:c>
      <x:c r="N167" s="46" t="n">
        <x:v>0.012115</x:v>
      </x:c>
      <x:c r="O167" s="46" t="n">
        <x:v>0.091122</x:v>
      </x:c>
      <x:c r="P167" s="46" t="n">
        <x:v>0.0000632</x:v>
      </x:c>
      <x:c r="Q167" s="46" t="n">
        <x:v>0.00181725</x:v>
      </x:c>
      <x:c r="R167" s="46" t="n">
        <x:v>0.0227805</x:v>
      </x:c>
      <x:c r="S167" s="46" t="n">
        <x:v>0.00001896</x:v>
      </x:c>
      <x:c r="T167" s="46" t="n">
        <x:v>0.000545175</x:v>
      </x:c>
      <x:c r="U167" s="46" t="n">
        <x:v>0.00683415</x:v>
      </x:c>
      <x:c r="V167" s="44" t="n">
        <x:v>0</x:v>
      </x:c>
      <x:c r="W167" s="44" t="n">
        <x:v>0</x:v>
      </x:c>
      <x:c r="X167" s="44" t="str">
        <x:v>AM-E01, AM-E02, AM-E09, AM-E10, AM-L04, AM-L07, AM-L08, AM-L09, AM-N01, AM-N05, AM-N12, AM-N16, H01, H02, H04, H05, H06, H07, H08, H10, H12, O01, O02, O04, PR-E02, PR-E05, PR-L03, PR-L04, PR-N02, PR-N04, PR-N11, Y09, Y11</x:v>
      </x:c>
    </x:row>
    <x:row r="168" ht="40" customHeight="1">
      <x:c r="A168" s="44" t="str">
        <x:v>Osmanthus Absolute 10%</x:v>
      </x:c>
      <x:c r="B168" s="44" t="str">
        <x:v>10% target-required working dilution</x:v>
      </x:c>
      <x:c r="C168" s="46" t="n">
        <x:v>0.1</x:v>
      </x:c>
      <x:c r="D168" s="44" t="str">
        <x:v>Air floral</x:v>
      </x:c>
      <x:c r="E168" s="44" t="str">
        <x:v>TARGET REQUIRED / INVENTORY GAP</x:v>
      </x:c>
      <x:c r="F168" s="44" t="n">
        <x:v>1</x:v>
      </x:c>
      <x:c r="G168" s="44" t="n">
        <x:v>1</x:v>
      </x:c>
      <x:c r="H168" s="44" t="str">
        <x:v>Amouage</x:v>
      </x:c>
      <x:c r="I168" s="48" t="n">
        <x:v>122.67</x:v>
      </x:c>
      <x:c r="J168" s="48" t="n">
        <x:v>122.67</x:v>
      </x:c>
      <x:c r="K168" s="48" t="n">
        <x:v>122.67</x:v>
      </x:c>
      <x:c r="L168" s="48" t="n">
        <x:v>122.67</x:v>
      </x:c>
      <x:c r="M168" s="46" t="n">
        <x:v>0.12267</x:v>
      </x:c>
      <x:c r="N168" s="46" t="n">
        <x:v>0.12267</x:v>
      </x:c>
      <x:c r="O168" s="46" t="n">
        <x:v>0.12267</x:v>
      </x:c>
      <x:c r="P168" s="46" t="n">
        <x:v>0.056428200000000005</x:v>
      </x:c>
      <x:c r="Q168" s="46" t="n">
        <x:v>0.056428200000000005</x:v>
      </x:c>
      <x:c r="R168" s="46" t="n">
        <x:v>0.056428200000000005</x:v>
      </x:c>
      <x:c r="S168" s="46" t="n">
        <x:v>0.005642820000000001</x:v>
      </x:c>
      <x:c r="T168" s="46" t="n">
        <x:v>0.005642820000000001</x:v>
      </x:c>
      <x:c r="U168" s="46" t="n">
        <x:v>0.005642820000000001</x:v>
      </x:c>
      <x:c r="V168" s="44" t="n">
        <x:v>1</x:v>
      </x:c>
      <x:c r="W168" s="44" t="n">
        <x:v>0</x:v>
      </x:c>
      <x:c r="X168" s="44" t="str">
        <x:v>AM-N13</x:v>
      </x:c>
    </x:row>
    <x:row r="169" ht="40" customHeight="1">
      <x:c r="A169" s="44" t="str">
        <x:v>Papyrus / Cypriol EO</x:v>
      </x:c>
      <x:c r="B169" s="44" t="str">
        <x:v>target-required authentic material</x:v>
      </x:c>
      <x:c r="C169" s="46" t="n">
        <x:v>1</x:v>
      </x:c>
      <x:c r="D169" s="44" t="str">
        <x:v>Woods / amber</x:v>
      </x:c>
      <x:c r="E169" s="44" t="str">
        <x:v>TARGET REQUIRED / INVENTORY GAP</x:v>
      </x:c>
      <x:c r="F169" s="44" t="n">
        <x:v>5</x:v>
      </x:c>
      <x:c r="G169" s="44" t="n">
        <x:v>5</x:v>
      </x:c>
      <x:c r="H169" s="44" t="str">
        <x:v>Amouage, Prada</x:v>
      </x:c>
      <x:c r="I169" s="48" t="n">
        <x:v>3.927</x:v>
      </x:c>
      <x:c r="J169" s="48" t="n">
        <x:v>8.587</x:v>
      </x:c>
      <x:c r="K169" s="48" t="n">
        <x:v>15.097800000000001</x:v>
      </x:c>
      <x:c r="L169" s="48" t="n">
        <x:v>34.965</x:v>
      </x:c>
      <x:c r="M169" s="46" t="n">
        <x:v>0.003927</x:v>
      </x:c>
      <x:c r="N169" s="46" t="n">
        <x:v>0.008587000000000001</x:v>
      </x:c>
      <x:c r="O169" s="46" t="n">
        <x:v>0.034965</x:v>
      </x:c>
      <x:c r="P169" s="46" t="n">
        <x:v>0.0007854000000000001</x:v>
      </x:c>
      <x:c r="Q169" s="46" t="n">
        <x:v>0.0025761</x:v>
      </x:c>
      <x:c r="R169" s="46" t="n">
        <x:v>0.007692300000000001</x:v>
      </x:c>
      <x:c r="S169" s="46" t="n">
        <x:v>0.0007854000000000001</x:v>
      </x:c>
      <x:c r="T169" s="46" t="n">
        <x:v>0.0025761</x:v>
      </x:c>
      <x:c r="U169" s="46" t="n">
        <x:v>0.007692300000000001</x:v>
      </x:c>
      <x:c r="V169" s="44" t="n">
        <x:v>5</x:v>
      </x:c>
      <x:c r="W169" s="44" t="n">
        <x:v>0</x:v>
      </x:c>
      <x:c r="X169" s="44" t="str">
        <x:v>AM-E12, AM-N03, AM-N08, AM-N16, PR-N14</x:v>
      </x:c>
    </x:row>
    <x:row r="170" ht="40" customHeight="1">
      <x:c r="A170" s="44" t="str">
        <x:v>Patchouli EO</x:v>
      </x:c>
      <x:c r="B170" s="44" t="str">
        <x:v>neat / as supplied</x:v>
      </x:c>
      <x:c r="C170" s="46" t="n">
        <x:v>1</x:v>
      </x:c>
      <x:c r="D170" s="44" t="str">
        <x:v>woods_amber</x:v>
      </x:c>
      <x:c r="E170" s="44" t="str">
        <x:v>DIRECT</x:v>
      </x:c>
      <x:c r="F170" s="44" t="n">
        <x:v>78</x:v>
      </x:c>
      <x:c r="G170" s="44" t="n">
        <x:v>78</x:v>
      </x:c>
      <x:c r="H170" s="44" t="str">
        <x:v>Amouage, CHANEL, Dior, Kenny Originals, Prada, YSL</x:v>
      </x:c>
      <x:c r="I170" s="48" t="n">
        <x:v>3.397</x:v>
      </x:c>
      <x:c r="J170" s="48" t="n">
        <x:v>27.441499999999998</x:v>
      </x:c>
      <x:c r="K170" s="48" t="n">
        <x:v>35.052653846153845</x:v>
      </x:c>
      <x:c r="L170" s="48" t="n">
        <x:v>155.105</x:v>
      </x:c>
      <x:c r="M170" s="46" t="n">
        <x:v>0.003397</x:v>
      </x:c>
      <x:c r="N170" s="46" t="n">
        <x:v>0.027441499999999997</x:v>
      </x:c>
      <x:c r="O170" s="46" t="n">
        <x:v>0.155105</x:v>
      </x:c>
      <x:c r="P170" s="46" t="n">
        <x:v>0.0005095499999999999</x:v>
      </x:c>
      <x:c r="Q170" s="46" t="n">
        <x:v>0.006608925</x:v>
      </x:c>
      <x:c r="R170" s="46" t="n">
        <x:v>0.03496745</x:v>
      </x:c>
      <x:c r="S170" s="46" t="n">
        <x:v>0.0005095499999999999</x:v>
      </x:c>
      <x:c r="T170" s="46" t="n">
        <x:v>0.006608925</x:v>
      </x:c>
      <x:c r="U170" s="46" t="n">
        <x:v>0.03496745</x:v>
      </x:c>
      <x:c r="V170" s="44" t="n">
        <x:v>0</x:v>
      </x:c>
      <x:c r="W170" s="44" t="n">
        <x:v>0</x:v>
      </x:c>
      <x:c r="X170" s="44" t="str">
        <x:v>AM-E01, AM-E02, AM-E03, AM-E04, AM-E05, AM-E06, AM-E07, AM-E08, AM-E09, AM-E10, AM-E11, AM-E12, AM-E13, AM-E14, AM-E15, AM-E16, AM-L01, AM-L02, AM-L03, AM-L04, AM-L05, AM-L06, AM-L07, AM-L08, AM-L09, AM-N01, AM-N02, AM-N03, AM-N04, AM-N05, AM-N06, AM-N07, AM-N08, AM-N09, AM-N10, AM-N11, AM-N12, AM-N13, AM-N14, AM-N15, AM-N16, C01, C07, C08, H01, H03, H04, H05, H06, H07, H08, O04, O05, PR-E01, PR-E02, PR-E04, PR-E05, PR-E07, PR-E08, PR-E09, PR-L01, PR-L04, PR-N02, PR-N05, PR-N06, PR-N07, S01, S02, S03, S04, S05, S06, S08, Y01, Y07, Y08, Y09, Y11</x:v>
      </x:c>
    </x:row>
    <x:row r="171" ht="40" customHeight="1">
      <x:c r="A171" s="44" t="str">
        <x:v>Pear Accord 10%</x:v>
      </x:c>
      <x:c r="B171" s="44" t="str">
        <x:v>10% target-required accord</x:v>
      </x:c>
      <x:c r="C171" s="46" t="n">
        <x:v>0.1</x:v>
      </x:c>
      <x:c r="D171" s="44" t="str">
        <x:v>Green fruit</x:v>
      </x:c>
      <x:c r="E171" s="44" t="str">
        <x:v>TARGET REQUIRED / INVENTORY GAP</x:v>
      </x:c>
      <x:c r="F171" s="44" t="n">
        <x:v>1</x:v>
      </x:c>
      <x:c r="G171" s="44" t="n">
        <x:v>1</x:v>
      </x:c>
      <x:c r="H171" s="44" t="str">
        <x:v>Amouage</x:v>
      </x:c>
      <x:c r="I171" s="48" t="n">
        <x:v>148.897</x:v>
      </x:c>
      <x:c r="J171" s="48" t="n">
        <x:v>148.897</x:v>
      </x:c>
      <x:c r="K171" s="48" t="n">
        <x:v>148.897</x:v>
      </x:c>
      <x:c r="L171" s="48" t="n">
        <x:v>148.897</x:v>
      </x:c>
      <x:c r="M171" s="46" t="n">
        <x:v>0.148897</x:v>
      </x:c>
      <x:c r="N171" s="46" t="n">
        <x:v>0.148897</x:v>
      </x:c>
      <x:c r="O171" s="46" t="n">
        <x:v>0.148897</x:v>
      </x:c>
      <x:c r="P171" s="46" t="n">
        <x:v>0.06849262</x:v>
      </x:c>
      <x:c r="Q171" s="46" t="n">
        <x:v>0.06849262</x:v>
      </x:c>
      <x:c r="R171" s="46" t="n">
        <x:v>0.06849262</x:v>
      </x:c>
      <x:c r="S171" s="46" t="n">
        <x:v>0.006849262</x:v>
      </x:c>
      <x:c r="T171" s="46" t="n">
        <x:v>0.006849262</x:v>
      </x:c>
      <x:c r="U171" s="46" t="n">
        <x:v>0.006849262</x:v>
      </x:c>
      <x:c r="V171" s="44" t="n">
        <x:v>1</x:v>
      </x:c>
      <x:c r="W171" s="44" t="n">
        <x:v>0</x:v>
      </x:c>
      <x:c r="X171" s="44" t="str">
        <x:v>AM-N13</x:v>
      </x:c>
    </x:row>
    <x:row r="172" ht="40" customHeight="1">
      <x:c r="A172" s="44" t="str">
        <x:v>Peru Balsam 10%</x:v>
      </x:c>
      <x:c r="B172" s="44" t="str">
        <x:v>10% in DPG</x:v>
      </x:c>
      <x:c r="C172" s="46" t="n">
        <x:v>0.1</x:v>
      </x:c>
      <x:c r="D172" s="44" t="str">
        <x:v>Sweet / balsamic</x:v>
      </x:c>
      <x:c r="E172" s="44" t="str">
        <x:v>PREPARED STOCK</x:v>
      </x:c>
      <x:c r="F172" s="44" t="n">
        <x:v>43</x:v>
      </x:c>
      <x:c r="G172" s="44" t="n">
        <x:v>43</x:v>
      </x:c>
      <x:c r="H172" s="44" t="str">
        <x:v>Amouage, CHANEL, Prada</x:v>
      </x:c>
      <x:c r="I172" s="48" t="n">
        <x:v>0.655</x:v>
      </x:c>
      <x:c r="J172" s="48" t="n">
        <x:v>9.234</x:v>
      </x:c>
      <x:c r="K172" s="48" t="n">
        <x:v>14.455906976744187</x:v>
      </x:c>
      <x:c r="L172" s="48" t="n">
        <x:v>98.704</x:v>
      </x:c>
      <x:c r="M172" s="46" t="n">
        <x:v>0.000655</x:v>
      </x:c>
      <x:c r="N172" s="46" t="n">
        <x:v>0.009234</x:v>
      </x:c>
      <x:c r="O172" s="46" t="n">
        <x:v>0.098704</x:v>
      </x:c>
      <x:c r="P172" s="46" t="n">
        <x:v>0.0001179</x:v>
      </x:c>
      <x:c r="Q172" s="46" t="n">
        <x:v>0.00263525</x:v>
      </x:c>
      <x:c r="R172" s="46" t="n">
        <x:v>0.024676</x:v>
      </x:c>
      <x:c r="S172" s="46" t="n">
        <x:v>0.00001179</x:v>
      </x:c>
      <x:c r="T172" s="46" t="n">
        <x:v>0.000263525</x:v>
      </x:c>
      <x:c r="U172" s="46" t="n">
        <x:v>0.0024676</x:v>
      </x:c>
      <x:c r="V172" s="44" t="n">
        <x:v>0</x:v>
      </x:c>
      <x:c r="W172" s="44" t="n">
        <x:v>0</x:v>
      </x:c>
      <x:c r="X172" s="44" t="str">
        <x:v>AM-E02, AM-E03, AM-E04, AM-E05, AM-E06, AM-E07, AM-E08, AM-E10, AM-E11, AM-E12, AM-E13, AM-E14, AM-E15, AM-E16, AM-L02, AM-L03, AM-L04, AM-L05, AM-L06, AM-L08, AM-L09, AM-N01, AM-N02, AM-N04, AM-N05, AM-N06, AM-N08, AM-N09, AM-N10, AM-N11, AM-N12, AM-N14, AM-N15, AM-N16, C08, PR-E05, PR-E08, PR-E09, PR-N05, PR-N06, PR-N07, PR-N09, PR-N13</x:v>
      </x:c>
    </x:row>
    <x:row r="173" ht="40" customHeight="1">
      <x:c r="A173" s="44" t="str">
        <x:v>Petitgrain EO</x:v>
      </x:c>
      <x:c r="B173" s="44" t="str">
        <x:v>neat / as supplied</x:v>
      </x:c>
      <x:c r="C173" s="46" t="n">
        <x:v>1</x:v>
      </x:c>
      <x:c r="D173" s="44" t="str">
        <x:v>Aromatic / Citrus / Spice</x:v>
      </x:c>
      <x:c r="E173" s="44" t="str">
        <x:v>DIRECT</x:v>
      </x:c>
      <x:c r="F173" s="44" t="n">
        <x:v>1</x:v>
      </x:c>
      <x:c r="G173" s="44" t="n">
        <x:v>1</x:v>
      </x:c>
      <x:c r="H173" s="44" t="str">
        <x:v>Prada</x:v>
      </x:c>
      <x:c r="I173" s="48" t="n">
        <x:v>5.213</x:v>
      </x:c>
      <x:c r="J173" s="48" t="n">
        <x:v>5.213</x:v>
      </x:c>
      <x:c r="K173" s="48" t="n">
        <x:v>5.213</x:v>
      </x:c>
      <x:c r="L173" s="48" t="n">
        <x:v>5.213</x:v>
      </x:c>
      <x:c r="M173" s="46" t="n">
        <x:v>0.005213</x:v>
      </x:c>
      <x:c r="N173" s="46" t="n">
        <x:v>0.005213</x:v>
      </x:c>
      <x:c r="O173" s="46" t="n">
        <x:v>0.005213</x:v>
      </x:c>
      <x:c r="P173" s="46" t="n">
        <x:v>0.0010425999999999999</x:v>
      </x:c>
      <x:c r="Q173" s="46" t="n">
        <x:v>0.0010425999999999999</x:v>
      </x:c>
      <x:c r="R173" s="46" t="n">
        <x:v>0.0010425999999999999</x:v>
      </x:c>
      <x:c r="S173" s="46" t="n">
        <x:v>0.0010425999999999999</x:v>
      </x:c>
      <x:c r="T173" s="46" t="n">
        <x:v>0.0010425999999999999</x:v>
      </x:c>
      <x:c r="U173" s="46" t="n">
        <x:v>0.0010425999999999999</x:v>
      </x:c>
      <x:c r="V173" s="44" t="n">
        <x:v>0</x:v>
      </x:c>
      <x:c r="W173" s="44" t="n">
        <x:v>0</x:v>
      </x:c>
      <x:c r="X173" s="44" t="str">
        <x:v>PR-E04</x:v>
      </x:c>
    </x:row>
    <x:row r="174" ht="40" customHeight="1">
      <x:c r="A174" s="44" t="str">
        <x:v>Petitgrain EO Paraguay</x:v>
      </x:c>
      <x:c r="B174" s="44" t="str">
        <x:v>neat / as supplied</x:v>
      </x:c>
      <x:c r="C174" s="46" t="n">
        <x:v>1</x:v>
      </x:c>
      <x:c r="D174" s="44" t="str">
        <x:v>citrus_top</x:v>
      </x:c>
      <x:c r="E174" s="44" t="str">
        <x:v>DIRECT</x:v>
      </x:c>
      <x:c r="F174" s="44" t="n">
        <x:v>86</x:v>
      </x:c>
      <x:c r="G174" s="44" t="n">
        <x:v>86</x:v>
      </x:c>
      <x:c r="H174" s="44" t="str">
        <x:v>Amouage, CHANEL, Dior, Kenny Originals, Prada, YSL</x:v>
      </x:c>
      <x:c r="I174" s="48" t="n">
        <x:v>0.262</x:v>
      </x:c>
      <x:c r="J174" s="48" t="n">
        <x:v>3.9</x:v>
      </x:c>
      <x:c r="K174" s="48" t="n">
        <x:v>6.913511627906977</x:v>
      </x:c>
      <x:c r="L174" s="48" t="n">
        <x:v>31.46</x:v>
      </x:c>
      <x:c r="M174" s="46" t="n">
        <x:v>0.000262</x:v>
      </x:c>
      <x:c r="N174" s="46" t="n">
        <x:v>0.0039000000000000003</x:v>
      </x:c>
      <x:c r="O174" s="46" t="n">
        <x:v>0.03146</x:v>
      </x:c>
      <x:c r="P174" s="46" t="n">
        <x:v>0.0000524</x:v>
      </x:c>
      <x:c r="Q174" s="46" t="n">
        <x:v>0.0009797249999999999</x:v>
      </x:c>
      <x:c r="R174" s="46" t="n">
        <x:v>0.0066697499999999995</x:v>
      </x:c>
      <x:c r="S174" s="46" t="n">
        <x:v>0.0000524</x:v>
      </x:c>
      <x:c r="T174" s="46" t="n">
        <x:v>0.0009797249999999999</x:v>
      </x:c>
      <x:c r="U174" s="46" t="n">
        <x:v>0.0066697499999999995</x:v>
      </x:c>
      <x:c r="V174" s="44" t="n">
        <x:v>0</x:v>
      </x:c>
      <x:c r="W174" s="44" t="n">
        <x:v>0</x:v>
      </x:c>
      <x:c r="X174" s="44" t="str">
        <x:v>AM-E01, AM-E02, AM-E03, AM-E04, AM-E05, AM-E06, AM-E07, AM-E08, AM-E09, AM-E10, AM-E11, AM-E12, AM-E13, AM-E14, AM-E15, AM-E16, AM-L01, AM-L02, AM-L03, AM-L04, AM-L05, AM-L06, AM-L07, AM-L08, AM-L09, AM-N01, AM-N02, AM-N03, AM-N04, AM-N05, AM-N06, AM-N07, AM-N08, AM-N09, AM-N10, AM-N11, AM-N12, AM-N13, AM-N15, AM-N16, C01, C02, C03, C04, C05, C06, C07, C08, H01, H02, H03, H08, H09, H11, H12, H14, H15, O01, O05, O06, PR-E01, PR-E03, PR-E06, PR-E08, PR-E09, PR-L02, PR-L03, PR-L05, PR-N01, PR-N02, PR-N04, S01, S02, S03, S04, S05, S07, S08, Y01, Y02, Y03, Y04, Y05, Y06, Y07, Y08</x:v>
      </x:c>
    </x:row>
    <x:row r="175" ht="40" customHeight="1">
      <x:c r="A175" s="44" t="str">
        <x:v>Phenethyl Alcohol</x:v>
      </x:c>
      <x:c r="B175" s="44" t="str">
        <x:v>neat / as supplied</x:v>
      </x:c>
      <x:c r="C175" s="46" t="n">
        <x:v>1</x:v>
      </x:c>
      <x:c r="D175" s="44" t="str">
        <x:v>air_floral</x:v>
      </x:c>
      <x:c r="E175" s="44" t="str">
        <x:v>DIRECT</x:v>
      </x:c>
      <x:c r="F175" s="44" t="n">
        <x:v>65</x:v>
      </x:c>
      <x:c r="G175" s="44" t="n">
        <x:v>65</x:v>
      </x:c>
      <x:c r="H175" s="44" t="str">
        <x:v>Amouage, CHANEL, Dior, Kenny Originals, Prada, YSL</x:v>
      </x:c>
      <x:c r="I175" s="48" t="n">
        <x:v>0.241</x:v>
      </x:c>
      <x:c r="J175" s="48" t="n">
        <x:v>4.88</x:v>
      </x:c>
      <x:c r="K175" s="48" t="n">
        <x:v>10.428323076923077</x:v>
      </x:c>
      <x:c r="L175" s="48" t="n">
        <x:v>86.941</x:v>
      </x:c>
      <x:c r="M175" s="46" t="n">
        <x:v>0.000241</x:v>
      </x:c>
      <x:c r="N175" s="46" t="n">
        <x:v>0.00488</x:v>
      </x:c>
      <x:c r="O175" s="46" t="n">
        <x:v>0.086941</x:v>
      </x:c>
      <x:c r="P175" s="46" t="n">
        <x:v>0.00006025</x:v>
      </x:c>
      <x:c r="Q175" s="46" t="n">
        <x:v>0.0008932000000000001</x:v>
      </x:c>
      <x:c r="R175" s="46" t="n">
        <x:v>0.01989175</x:v>
      </x:c>
      <x:c r="S175" s="46" t="n">
        <x:v>0.00006025</x:v>
      </x:c>
      <x:c r="T175" s="46" t="n">
        <x:v>0.0008932000000000001</x:v>
      </x:c>
      <x:c r="U175" s="46" t="n">
        <x:v>0.01989175</x:v>
      </x:c>
      <x:c r="V175" s="44" t="n">
        <x:v>0</x:v>
      </x:c>
      <x:c r="W175" s="44" t="n">
        <x:v>0</x:v>
      </x:c>
      <x:c r="X175" s="44" t="str">
        <x:v>AM-E01, AM-E02, AM-E03, AM-E04, AM-E05, AM-E06, AM-E07, AM-E08, AM-E09, AM-E10, AM-E11, AM-E12, AM-E13, AM-E14, AM-E15, AM-L01, AM-L02, AM-L03, AM-L04, AM-L05, AM-L06, AM-L07, AM-L08, AM-L09, AM-N01, AM-N02, AM-N03, AM-N04, AM-N05, AM-N06, AM-N07, AM-N08, AM-N09, AM-N11, AM-N12, AM-N13, AM-N15, AM-N16, C01, C02, H01, H02, H03, H04, H05, H06, H07, H10, H11, H12, H13, H14, H15, O01, O02, O05, O06, PR-E09, S01, S02, S03, S07, Y03, Y04, Y06</x:v>
      </x:c>
    </x:row>
    <x:row r="176" ht="40" customHeight="1">
      <x:c r="A176" s="44" t="str">
        <x:v>Pine EO</x:v>
      </x:c>
      <x:c r="B176" s="44" t="str">
        <x:v>neat / as supplied</x:v>
      </x:c>
      <x:c r="C176" s="46" t="n">
        <x:v>1</x:v>
      </x:c>
      <x:c r="D176" s="44" t="str">
        <x:v>aromatic_top</x:v>
      </x:c>
      <x:c r="E176" s="44" t="str">
        <x:v>DIRECT</x:v>
      </x:c>
      <x:c r="F176" s="44" t="n">
        <x:v>61</x:v>
      </x:c>
      <x:c r="G176" s="44" t="n">
        <x:v>61</x:v>
      </x:c>
      <x:c r="H176" s="44" t="str">
        <x:v>Amouage, CHANEL, Dior, Prada, YSL</x:v>
      </x:c>
      <x:c r="I176" s="48" t="n">
        <x:v>0.164</x:v>
      </x:c>
      <x:c r="J176" s="48" t="n">
        <x:v>4.665</x:v>
      </x:c>
      <x:c r="K176" s="48" t="n">
        <x:v>5.094737704918033</x:v>
      </x:c>
      <x:c r="L176" s="48" t="n">
        <x:v>22.24</x:v>
      </x:c>
      <x:c r="M176" s="46" t="n">
        <x:v>0.000164</x:v>
      </x:c>
      <x:c r="N176" s="46" t="n">
        <x:v>0.004665</x:v>
      </x:c>
      <x:c r="O176" s="46" t="n">
        <x:v>0.022239999999999996</x:v>
      </x:c>
      <x:c r="P176" s="46" t="n">
        <x:v>0.000032800000000000004</x:v>
      </x:c>
      <x:c r="Q176" s="46" t="n">
        <x:v>0.0008833399999999999</x:v>
      </x:c>
      <x:c r="R176" s="46" t="n">
        <x:v>0.0036852</x:v>
      </x:c>
      <x:c r="S176" s="46" t="n">
        <x:v>0.000032800000000000004</x:v>
      </x:c>
      <x:c r="T176" s="46" t="n">
        <x:v>0.0008833399999999999</x:v>
      </x:c>
      <x:c r="U176" s="46" t="n">
        <x:v>0.0036852</x:v>
      </x:c>
      <x:c r="V176" s="44" t="n">
        <x:v>0</x:v>
      </x:c>
      <x:c r="W176" s="44" t="n">
        <x:v>0</x:v>
      </x:c>
      <x:c r="X176" s="44" t="str">
        <x:v>AM-E01, AM-E02, AM-E03, AM-E04, AM-E05, AM-E06, AM-E07, AM-E08, AM-E09, AM-E10, AM-E11, AM-E12, AM-E13, AM-E14, AM-E15, AM-E16, AM-L01, AM-L02, AM-L03, AM-L04, AM-L05, AM-L06, AM-L07, AM-L08, AM-L09, AM-N01, AM-N02, AM-N03, AM-N04, AM-N05, AM-N06, AM-N07, AM-N08, AM-N09, AM-N10, AM-N11, AM-N12, AM-N13, AM-N14, AM-N15, AM-N16, C05, H01, H02, H03, H08, H11, H12, H14, H15, PR-E04, PR-L01, PR-N01, PR-N02, S01, S02, S03, S04, S07, S08, Y07</x:v>
      </x:c>
    </x:row>
    <x:row r="177" ht="40" customHeight="1">
      <x:c r="A177" s="44" t="str">
        <x:v>Pink Pepper EO / CO2</x:v>
      </x:c>
      <x:c r="B177" s="44" t="str">
        <x:v>target-required authentic material</x:v>
      </x:c>
      <x:c r="C177" s="46" t="n">
        <x:v>1</x:v>
      </x:c>
      <x:c r="D177" s="44" t="str">
        <x:v>Spice</x:v>
      </x:c>
      <x:c r="E177" s="44" t="str">
        <x:v>TARGET REQUIRED / INVENTORY GAP</x:v>
      </x:c>
      <x:c r="F177" s="44" t="n">
        <x:v>8</x:v>
      </x:c>
      <x:c r="G177" s="44" t="n">
        <x:v>8</x:v>
      </x:c>
      <x:c r="H177" s="44" t="str">
        <x:v>Amouage, CHANEL, Dior, Prada, YSL</x:v>
      </x:c>
      <x:c r="I177" s="48" t="n">
        <x:v>1.133</x:v>
      </x:c>
      <x:c r="J177" s="48" t="n">
        <x:v>9.122499999999999</x:v>
      </x:c>
      <x:c r="K177" s="48" t="n">
        <x:v>9.550374999999999</x:v>
      </x:c>
      <x:c r="L177" s="48" t="n">
        <x:v>17.723</x:v>
      </x:c>
      <x:c r="M177" s="46" t="n">
        <x:v>0.001133</x:v>
      </x:c>
      <x:c r="N177" s="46" t="n">
        <x:v>0.0091225</x:v>
      </x:c>
      <x:c r="O177" s="46" t="n">
        <x:v>0.017723</x:v>
      </x:c>
      <x:c r="P177" s="46" t="n">
        <x:v>0.00026059</x:v>
      </x:c>
      <x:c r="Q177" s="46" t="n">
        <x:v>0.001927275</x:v>
      </x:c>
      <x:c r="R177" s="46" t="n">
        <x:v>0.0038990599999999998</x:v>
      </x:c>
      <x:c r="S177" s="46" t="n">
        <x:v>0.00026059</x:v>
      </x:c>
      <x:c r="T177" s="46" t="n">
        <x:v>0.001927275</x:v>
      </x:c>
      <x:c r="U177" s="46" t="n">
        <x:v>0.0038990599999999998</x:v>
      </x:c>
      <x:c r="V177" s="44" t="n">
        <x:v>8</x:v>
      </x:c>
      <x:c r="W177" s="44" t="n">
        <x:v>0</x:v>
      </x:c>
      <x:c r="X177" s="44" t="str">
        <x:v>AM-N03, AM-N10, AM-N14, AM-N15, C05, PR-L04, S02, Y10</x:v>
      </x:c>
    </x:row>
    <x:row r="178" ht="40" customHeight="1">
      <x:c r="A178" s="44" t="str">
        <x:v>Polysantol</x:v>
      </x:c>
      <x:c r="B178" s="44" t="str">
        <x:v>neat / as supplied</x:v>
      </x:c>
      <x:c r="C178" s="46" t="n">
        <x:v>1</x:v>
      </x:c>
      <x:c r="D178" s="44" t="str">
        <x:v>woods_amber</x:v>
      </x:c>
      <x:c r="E178" s="44" t="str">
        <x:v>DIRECT</x:v>
      </x:c>
      <x:c r="F178" s="44" t="n">
        <x:v>84</x:v>
      </x:c>
      <x:c r="G178" s="44" t="n">
        <x:v>84</x:v>
      </x:c>
      <x:c r="H178" s="44" t="str">
        <x:v>Amouage, CHANEL, Dior, Kenny Originals, Prada, YSL</x:v>
      </x:c>
      <x:c r="I178" s="48" t="n">
        <x:v>0.047</x:v>
      </x:c>
      <x:c r="J178" s="48" t="n">
        <x:v>7.606</x:v>
      </x:c>
      <x:c r="K178" s="48" t="n">
        <x:v>15.316238095238095</x:v>
      </x:c>
      <x:c r="L178" s="48" t="n">
        <x:v>85.747</x:v>
      </x:c>
      <x:c r="M178" s="46" t="n">
        <x:v>0.000047000000000000004</x:v>
      </x:c>
      <x:c r="N178" s="46" t="n">
        <x:v>0.007605999999999999</x:v>
      </x:c>
      <x:c r="O178" s="46" t="n">
        <x:v>0.085747</x:v>
      </x:c>
      <x:c r="P178" s="46" t="n">
        <x:v>0.00001034</x:v>
      </x:c>
      <x:c r="Q178" s="46" t="n">
        <x:v>0.001581215</x:v>
      </x:c>
      <x:c r="R178" s="46" t="n">
        <x:v>0.020775599999999995</x:v>
      </x:c>
      <x:c r="S178" s="46" t="n">
        <x:v>0.00001034</x:v>
      </x:c>
      <x:c r="T178" s="46" t="n">
        <x:v>0.001581215</x:v>
      </x:c>
      <x:c r="U178" s="46" t="n">
        <x:v>0.020775599999999995</x:v>
      </x:c>
      <x:c r="V178" s="44" t="n">
        <x:v>0</x:v>
      </x:c>
      <x:c r="W178" s="44" t="n">
        <x:v>0</x:v>
      </x:c>
      <x:c r="X178"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H10, H11, H12, H13, H14, H15, O02, O03, O06, PR-E05, PR-L05, PR-N02, PR-N03, PR-N04, PR-N07, PR-N08, PR-N12, PR-N14, S01, S02, S03, S04, S05, S06, S07, S08, Y02</x:v>
      </x:c>
    </x:row>
    <x:row r="179" ht="40" customHeight="1">
      <x:c r="A179" s="44" t="str">
        <x:v>Prunol / Plum Accord 10%</x:v>
      </x:c>
      <x:c r="B179" s="44" t="str">
        <x:v>10% target-required accord</x:v>
      </x:c>
      <x:c r="C179" s="46" t="n">
        <x:v>0.1</x:v>
      </x:c>
      <x:c r="D179" s="44" t="str">
        <x:v>Green fruit</x:v>
      </x:c>
      <x:c r="E179" s="44" t="str">
        <x:v>TARGET REQUIRED / INVENTORY GAP</x:v>
      </x:c>
      <x:c r="F179" s="44" t="n">
        <x:v>2</x:v>
      </x:c>
      <x:c r="G179" s="44" t="n">
        <x:v>2</x:v>
      </x:c>
      <x:c r="H179" s="44" t="str">
        <x:v>Amouage</x:v>
      </x:c>
      <x:c r="I179" s="48" t="n">
        <x:v>20.528</x:v>
      </x:c>
      <x:c r="J179" s="48" t="n">
        <x:v>42.8445</x:v>
      </x:c>
      <x:c r="K179" s="48" t="n">
        <x:v>42.8445</x:v>
      </x:c>
      <x:c r="L179" s="48" t="n">
        <x:v>65.161</x:v>
      </x:c>
      <x:c r="M179" s="46" t="n">
        <x:v>0.020528</x:v>
      </x:c>
      <x:c r="N179" s="46" t="n">
        <x:v>0.042844499999999994</x:v>
      </x:c>
      <x:c r="O179" s="46" t="n">
        <x:v>0.065161</x:v>
      </x:c>
      <x:c r="P179" s="46" t="n">
        <x:v>0.00472144</x:v>
      </x:c>
      <x:c r="Q179" s="46" t="n">
        <x:v>0.010505845</x:v>
      </x:c>
      <x:c r="R179" s="46" t="n">
        <x:v>0.01629025</x:v>
      </x:c>
      <x:c r="S179" s="46" t="n">
        <x:v>0.000472144</x:v>
      </x:c>
      <x:c r="T179" s="46" t="n">
        <x:v>0.0010505845</x:v>
      </x:c>
      <x:c r="U179" s="46" t="n">
        <x:v>0.001629025</x:v>
      </x:c>
      <x:c r="V179" s="44" t="n">
        <x:v>2</x:v>
      </x:c>
      <x:c r="W179" s="44" t="n">
        <x:v>0</x:v>
      </x:c>
      <x:c r="X179" s="44" t="str">
        <x:v>AM-E05, AM-E13</x:v>
      </x:c>
    </x:row>
    <x:row r="180" ht="40" customHeight="1">
      <x:c r="A180" s="44" t="str">
        <x:v>Red Mandarin EO</x:v>
      </x:c>
      <x:c r="B180" s="44" t="str">
        <x:v>neat / as supplied</x:v>
      </x:c>
      <x:c r="C180" s="46" t="n">
        <x:v>1</x:v>
      </x:c>
      <x:c r="D180" s="44" t="str">
        <x:v>Citrus top</x:v>
      </x:c>
      <x:c r="E180" s="44" t="str">
        <x:v>DIRECT</x:v>
      </x:c>
      <x:c r="F180" s="44" t="n">
        <x:v>54</x:v>
      </x:c>
      <x:c r="G180" s="44" t="n">
        <x:v>54</x:v>
      </x:c>
      <x:c r="H180" s="44" t="str">
        <x:v>Amouage, CHANEL, Dior, Prada, YSL</x:v>
      </x:c>
      <x:c r="I180" s="48" t="n">
        <x:v>0.185</x:v>
      </x:c>
      <x:c r="J180" s="48" t="n">
        <x:v>1.9249999999999998</x:v>
      </x:c>
      <x:c r="K180" s="48" t="n">
        <x:v>17.05338888888889</x:v>
      </x:c>
      <x:c r="L180" s="48" t="n">
        <x:v>189.303</x:v>
      </x:c>
      <x:c r="M180" s="46" t="n">
        <x:v>0.000185</x:v>
      </x:c>
      <x:c r="N180" s="46" t="n">
        <x:v>0.001925</x:v>
      </x:c>
      <x:c r="O180" s="46" t="n">
        <x:v>0.189303</x:v>
      </x:c>
      <x:c r="P180" s="46" t="n">
        <x:v>0.000044399999999999995</x:v>
      </x:c>
      <x:c r="Q180" s="46" t="n">
        <x:v>0.0006322249999999998</x:v>
      </x:c>
      <x:c r="R180" s="46" t="n">
        <x:v>0.028395450000000003</x:v>
      </x:c>
      <x:c r="S180" s="46" t="n">
        <x:v>0.000044399999999999995</x:v>
      </x:c>
      <x:c r="T180" s="46" t="n">
        <x:v>0.0006322249999999998</x:v>
      </x:c>
      <x:c r="U180" s="46" t="n">
        <x:v>0.028395450000000003</x:v>
      </x:c>
      <x:c r="V180" s="44" t="n">
        <x:v>0</x:v>
      </x:c>
      <x:c r="W180" s="44" t="n">
        <x:v>0</x:v>
      </x:c>
      <x:c r="X180" s="44" t="str">
        <x:v>AM-E01, AM-E02, AM-E03, AM-E04, AM-E05, AM-E06, AM-E07, AM-E08, AM-E09, AM-E10, AM-E12, AM-E13, AM-E14, AM-E15, AM-E16, AM-L01, AM-L02, AM-L03, AM-L04, AM-L06, AM-L07, AM-L08, AM-L09, AM-N01, AM-N02, AM-N03, AM-N04, AM-N05, AM-N06, AM-N07, AM-N09, AM-N10, AM-N11, AM-N12, AM-N13, AM-N14, AM-N15, AM-N16, C03, C05, H08, PR-L02, PR-L03, PR-L04, PR-L05, PR-N03, PR-N04, PR-N10, PR-N11, PR-N12, PR-N13, PR-N14, S05, Y14</x:v>
      </x:c>
    </x:row>
    <x:row r="181" ht="40" customHeight="1">
      <x:c r="A181" s="44" t="str">
        <x:v>Romandolide</x:v>
      </x:c>
      <x:c r="B181" s="44" t="str">
        <x:v>neat / verify label</x:v>
      </x:c>
      <x:c r="C181" s="46" t="n">
        <x:v>1</x:v>
      </x:c>
      <x:c r="D181" s="44" t="str">
        <x:v>musk</x:v>
      </x:c>
      <x:c r="E181" s="44" t="str">
        <x:v>DIRECT · VERIFY LABEL</x:v>
      </x:c>
      <x:c r="F181" s="44" t="n">
        <x:v>116</x:v>
      </x:c>
      <x:c r="G181" s="44" t="n">
        <x:v>116</x:v>
      </x:c>
      <x:c r="H181" s="44" t="str">
        <x:v>Amouage, CHANEL, Dior, Kenny Originals, Prada, YSL</x:v>
      </x:c>
      <x:c r="I181" s="48" t="n">
        <x:v>0.593</x:v>
      </x:c>
      <x:c r="J181" s="48" t="n">
        <x:v>11.642</x:v>
      </x:c>
      <x:c r="K181" s="48" t="n">
        <x:v>19.41503448275862</x:v>
      </x:c>
      <x:c r="L181" s="48" t="n">
        <x:v>86.911</x:v>
      </x:c>
      <x:c r="M181" s="46" t="n">
        <x:v>0.000593</x:v>
      </x:c>
      <x:c r="N181" s="46" t="n">
        <x:v>0.011642000000000001</x:v>
      </x:c>
      <x:c r="O181" s="46" t="n">
        <x:v>0.086911</x:v>
      </x:c>
      <x:c r="P181" s="46" t="n">
        <x:v>0.00017196999999999997</x:v>
      </x:c>
      <x:c r="Q181" s="46" t="n">
        <x:v>0.0022455200000000004</x:v>
      </x:c>
      <x:c r="R181" s="46" t="n">
        <x:v>0.02172775</x:v>
      </x:c>
      <x:c r="S181" s="46" t="n">
        <x:v>0.00017196999999999997</x:v>
      </x:c>
      <x:c r="T181" s="46" t="n">
        <x:v>0.0022455200000000004</x:v>
      </x:c>
      <x:c r="U181" s="46" t="n">
        <x:v>0.02172775</x:v>
      </x:c>
      <x:c r="V181" s="44" t="n">
        <x:v>0</x:v>
      </x:c>
      <x:c r="W181" s="44" t="n">
        <x:v>116</x:v>
      </x:c>
      <x:c r="X181"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PR-E04, PR-E05, PR-E06, PR-E07, PR-E08, PR-E09, PR-L01, PR-L03, PR-L04, PR-N01, PR-N02, PR-N04, PR-N05, PR-N06, PR-N07, PR-N08, PR-N09, PR-N10, PR-N11, PR-N12, PR-N13, PR-N14, S01, S02, S03, S04, S05, S06, S07, S08, Y01, Y02, Y03, Y04, Y05, Y06, Y07, Y08, Y09, Y10, Y11, Y12, Y13, Y14</x:v>
      </x:c>
    </x:row>
    <x:row r="182" ht="40" customHeight="1">
      <x:c r="A182" s="44" t="str">
        <x:v>Rose Absolute 10%</x:v>
      </x:c>
      <x:c r="B182" s="44" t="str">
        <x:v>10% target-required working dilution</x:v>
      </x:c>
      <x:c r="C182" s="46" t="n">
        <x:v>0.1</x:v>
      </x:c>
      <x:c r="D182" s="44" t="str">
        <x:v>Air floral</x:v>
      </x:c>
      <x:c r="E182" s="44" t="str">
        <x:v>TARGET REQUIRED / INVENTORY GAP</x:v>
      </x:c>
      <x:c r="F182" s="44" t="n">
        <x:v>2</x:v>
      </x:c>
      <x:c r="G182" s="44" t="n">
        <x:v>2</x:v>
      </x:c>
      <x:c r="H182" s="44" t="str">
        <x:v>Amouage</x:v>
      </x:c>
      <x:c r="I182" s="48" t="n">
        <x:v>8.534</x:v>
      </x:c>
      <x:c r="J182" s="48" t="n">
        <x:v>14.353000000000002</x:v>
      </x:c>
      <x:c r="K182" s="48" t="n">
        <x:v>14.353000000000002</x:v>
      </x:c>
      <x:c r="L182" s="48" t="n">
        <x:v>20.172</x:v>
      </x:c>
      <x:c r="M182" s="46" t="n">
        <x:v>0.008534</x:v>
      </x:c>
      <x:c r="N182" s="46" t="n">
        <x:v>0.014353</x:v>
      </x:c>
      <x:c r="O182" s="46" t="n">
        <x:v>0.020172</x:v>
      </x:c>
      <x:c r="P182" s="46" t="n">
        <x:v>0.0017068000000000003</x:v>
      </x:c>
      <x:c r="Q182" s="46" t="n">
        <x:v>0.0031731800000000003</x:v>
      </x:c>
      <x:c r="R182" s="46" t="n">
        <x:v>0.00463956</x:v>
      </x:c>
      <x:c r="S182" s="46" t="n">
        <x:v>0.00017068000000000004</x:v>
      </x:c>
      <x:c r="T182" s="46" t="n">
        <x:v>0.00031731800000000003</x:v>
      </x:c>
      <x:c r="U182" s="46" t="n">
        <x:v>0.00046395600000000007</x:v>
      </x:c>
      <x:c r="V182" s="44" t="n">
        <x:v>2</x:v>
      </x:c>
      <x:c r="W182" s="44" t="n">
        <x:v>0</x:v>
      </x:c>
      <x:c r="X182" s="44" t="str">
        <x:v>AM-E05, AM-N05</x:v>
      </x:c>
    </x:row>
    <x:row r="183" ht="40" customHeight="1">
      <x:c r="A183" s="44" t="str">
        <x:v>Rose EO</x:v>
      </x:c>
      <x:c r="B183" s="44" t="str">
        <x:v>neat; verify current stock</x:v>
      </x:c>
      <x:c r="C183" s="46" t="n">
        <x:v>1</x:v>
      </x:c>
      <x:c r="D183" s="44" t="str">
        <x:v>Floral air</x:v>
      </x:c>
      <x:c r="E183" s="44" t="str">
        <x:v>VERIFY LABEL</x:v>
      </x:c>
      <x:c r="F183" s="44" t="n">
        <x:v>18</x:v>
      </x:c>
      <x:c r="G183" s="44" t="n">
        <x:v>18</x:v>
      </x:c>
      <x:c r="H183" s="44" t="str">
        <x:v>Dior, Kenny Originals, YSL</x:v>
      </x:c>
      <x:c r="I183" s="48" t="n">
        <x:v>0.167</x:v>
      </x:c>
      <x:c r="J183" s="48" t="n">
        <x:v>1.5055</x:v>
      </x:c>
      <x:c r="K183" s="48" t="n">
        <x:v>7.988944444444444</x:v>
      </x:c>
      <x:c r="L183" s="48" t="n">
        <x:v>77.359</x:v>
      </x:c>
      <x:c r="M183" s="46" t="n">
        <x:v>0.000167</x:v>
      </x:c>
      <x:c r="N183" s="46" t="n">
        <x:v>0.0015055</x:v>
      </x:c>
      <x:c r="O183" s="46" t="n">
        <x:v>0.077359</x:v>
      </x:c>
      <x:c r="P183" s="46" t="n">
        <x:v>0.00002865</x:v>
      </x:c>
      <x:c r="Q183" s="46" t="n">
        <x:v>0.00022810499999999999</x:v>
      </x:c>
      <x:c r="R183" s="46" t="n">
        <x:v>0.013924619999999999</x:v>
      </x:c>
      <x:c r="S183" s="46" t="n">
        <x:v>0.00002865</x:v>
      </x:c>
      <x:c r="T183" s="46" t="n">
        <x:v>0.00022810499999999999</x:v>
      </x:c>
      <x:c r="U183" s="46" t="n">
        <x:v>0.013924619999999999</x:v>
      </x:c>
      <x:c r="V183" s="44" t="n">
        <x:v>0</x:v>
      </x:c>
      <x:c r="W183" s="44" t="n">
        <x:v>18</x:v>
      </x:c>
      <x:c r="X183" s="44" t="str">
        <x:v>H01, H02, H03, H04, H06, H07, H10, H11, H12, H13, H14, O06, S01, S02, S03, S07, Y06, Y08</x:v>
      </x:c>
    </x:row>
    <x:row r="184" ht="40" customHeight="1">
      <x:c r="A184" s="44" t="str">
        <x:v>Rose Oxide 1%</x:v>
      </x:c>
      <x:c r="B184" s="44" t="str">
        <x:v>1% working stock</x:v>
      </x:c>
      <x:c r="C184" s="46" t="n">
        <x:v>0.01</x:v>
      </x:c>
      <x:c r="D184" s="44" t="str">
        <x:v>air_floral</x:v>
      </x:c>
      <x:c r="E184" s="44" t="str">
        <x:v>TRACE PREMIX</x:v>
      </x:c>
      <x:c r="F184" s="44" t="n">
        <x:v>44</x:v>
      </x:c>
      <x:c r="G184" s="44" t="n">
        <x:v>44</x:v>
      </x:c>
      <x:c r="H184" s="44" t="str">
        <x:v>Amouage, CHANEL, Dior, Kenny Originals, Prada, YSL</x:v>
      </x:c>
      <x:c r="I184" s="48" t="n">
        <x:v>0.088</x:v>
      </x:c>
      <x:c r="J184" s="48" t="n">
        <x:v>0.5</x:v>
      </x:c>
      <x:c r="K184" s="48" t="n">
        <x:v>1.62225</x:v>
      </x:c>
      <x:c r="L184" s="48" t="n">
        <x:v>10.704</x:v>
      </x:c>
      <x:c r="M184" s="46" t="n">
        <x:v>0.00008799999999999998</x:v>
      </x:c>
      <x:c r="N184" s="46" t="n">
        <x:v>0.0005</x:v>
      </x:c>
      <x:c r="O184" s="46" t="n">
        <x:v>0.010704</x:v>
      </x:c>
      <x:c r="P184" s="46" t="n">
        <x:v>0.0000176</x:v>
      </x:c>
      <x:c r="Q184" s="46" t="n">
        <x:v>0.00009993500000000001</x:v>
      </x:c>
      <x:c r="R184" s="46" t="n">
        <x:v>0.002676</x:v>
      </x:c>
      <x:c r="S184" s="46" t="n">
        <x:v>1.7600000000000001e-7</x:v>
      </x:c>
      <x:c r="T184" s="46" t="n">
        <x:v>9.9935e-7</x:v>
      </x:c>
      <x:c r="U184" s="46" t="n">
        <x:v>0.00002676</x:v>
      </x:c>
      <x:c r="V184" s="44" t="n">
        <x:v>0</x:v>
      </x:c>
      <x:c r="W184" s="44" t="n">
        <x:v>0</x:v>
      </x:c>
      <x:c r="X184" s="44" t="str">
        <x:v>AM-E01, AM-E11, AM-E14, AM-L01, AM-L04, AM-N04, AM-N06, AM-N15, C01, C03, C06, C07, H02, H03, H10, H13, H14, H15, O03, O04, O05, PR-E03, PR-E09, PR-L04, S01, S02, S03, S04, S05, S06, S07, S08, Y01, Y02, Y04, Y06, Y07, Y08, Y09, Y10, Y11, Y12, Y13, Y14</x:v>
      </x:c>
    </x:row>
    <x:row r="185" ht="40" customHeight="1">
      <x:c r="A185" s="44" t="str">
        <x:v>Rosemary EO</x:v>
      </x:c>
      <x:c r="B185" s="44" t="str">
        <x:v>neat / as supplied</x:v>
      </x:c>
      <x:c r="C185" s="46" t="n">
        <x:v>1</x:v>
      </x:c>
      <x:c r="D185" s="44" t="str">
        <x:v>Aromatic top</x:v>
      </x:c>
      <x:c r="E185" s="44" t="str">
        <x:v>DIRECT</x:v>
      </x:c>
      <x:c r="F185" s="44" t="n">
        <x:v>47</x:v>
      </x:c>
      <x:c r="G185" s="44" t="n">
        <x:v>47</x:v>
      </x:c>
      <x:c r="H185" s="44" t="str">
        <x:v>Amouage, CHANEL, Prada</x:v>
      </x:c>
      <x:c r="I185" s="48" t="n">
        <x:v>0.452</x:v>
      </x:c>
      <x:c r="J185" s="48" t="n">
        <x:v>6.202</x:v>
      </x:c>
      <x:c r="K185" s="48" t="n">
        <x:v>9.805212765957446</x:v>
      </x:c>
      <x:c r="L185" s="48" t="n">
        <x:v>59.166</x:v>
      </x:c>
      <x:c r="M185" s="46" t="n">
        <x:v>0.00045200000000000004</x:v>
      </x:c>
      <x:c r="N185" s="46" t="n">
        <x:v>0.006202</x:v>
      </x:c>
      <x:c r="O185" s="46" t="n">
        <x:v>0.059165999999999996</x:v>
      </x:c>
      <x:c r="P185" s="46" t="n">
        <x:v>0.00009040000000000002</x:v>
      </x:c>
      <x:c r="Q185" s="46" t="n">
        <x:v>0.0012833999999999999</x:v>
      </x:c>
      <x:c r="R185" s="46" t="n">
        <x:v>0.023666399999999997</x:v>
      </x:c>
      <x:c r="S185" s="46" t="n">
        <x:v>0.00009040000000000002</x:v>
      </x:c>
      <x:c r="T185" s="46" t="n">
        <x:v>0.0012833999999999999</x:v>
      </x:c>
      <x:c r="U185" s="46" t="n">
        <x:v>0.023666399999999997</x:v>
      </x:c>
      <x:c r="V185" s="44" t="n">
        <x:v>0</x:v>
      </x:c>
      <x:c r="W185" s="44" t="n">
        <x:v>0</x:v>
      </x:c>
      <x:c r="X185" s="44" t="str">
        <x:v>AM-E01, AM-E02, AM-E03, AM-E04, AM-E05, AM-E06, AM-E07, AM-E08, AM-E09, AM-E10, AM-E11, AM-E12, AM-E13, AM-E14, AM-E15, AM-E16, AM-L01, AM-L02, AM-L03, AM-L04, AM-L05, AM-L06, AM-L07, AM-L08, AM-L09, AM-N01, AM-N02, AM-N03, AM-N04, AM-N05, AM-N06, AM-N07, AM-N08, AM-N09, AM-N10, AM-N11, AM-N12, AM-N13, AM-N14, AM-N15, AM-N16, C05, C07, PR-L01, PR-L02, PR-N01, PR-N02</x:v>
      </x:c>
    </x:row>
    <x:row r="186" ht="40" customHeight="1">
      <x:c r="A186" s="44" t="str">
        <x:v>Rum Accord 10%</x:v>
      </x:c>
      <x:c r="B186" s="44" t="str">
        <x:v>10% target-required accord</x:v>
      </x:c>
      <x:c r="C186" s="46" t="n">
        <x:v>0.1</x:v>
      </x:c>
      <x:c r="D186" s="44" t="str">
        <x:v>Sweet balsamic</x:v>
      </x:c>
      <x:c r="E186" s="44" t="str">
        <x:v>TARGET REQUIRED / INVENTORY GAP</x:v>
      </x:c>
      <x:c r="F186" s="44" t="n">
        <x:v>3</x:v>
      </x:c>
      <x:c r="G186" s="44" t="n">
        <x:v>3</x:v>
      </x:c>
      <x:c r="H186" s="44" t="str">
        <x:v>Amouage, Dior, YSL</x:v>
      </x:c>
      <x:c r="I186" s="48" t="n">
        <x:v>94.677</x:v>
      </x:c>
      <x:c r="J186" s="48" t="n">
        <x:v>107.877</x:v>
      </x:c>
      <x:c r="K186" s="48" t="n">
        <x:v>127.518</x:v>
      </x:c>
      <x:c r="L186" s="48" t="n">
        <x:v>180</x:v>
      </x:c>
      <x:c r="M186" s="46" t="n">
        <x:v>0.09467700000000001</x:v>
      </x:c>
      <x:c r="N186" s="46" t="n">
        <x:v>0.10787699999999999</x:v>
      </x:c>
      <x:c r="O186" s="46" t="n">
        <x:v>0.18</x:v>
      </x:c>
      <x:c r="P186" s="46" t="n">
        <x:v>0.0189354</x:v>
      </x:c>
      <x:c r="Q186" s="46" t="n">
        <x:v>0.025890479999999997</x:v>
      </x:c>
      <x:c r="R186" s="46" t="n">
        <x:v>0.036000000000000004</x:v>
      </x:c>
      <x:c r="S186" s="46" t="n">
        <x:v>0.0018935400000000002</x:v>
      </x:c>
      <x:c r="T186" s="46" t="n">
        <x:v>0.002589048</x:v>
      </x:c>
      <x:c r="U186" s="46" t="n">
        <x:v>0.0036000000000000003</x:v>
      </x:c>
      <x:c r="V186" s="44" t="n">
        <x:v>3</x:v>
      </x:c>
      <x:c r="W186" s="44" t="n">
        <x:v>0</x:v>
      </x:c>
      <x:c r="X186" s="44" t="str">
        <x:v>AM-E01, H05, Y03</x:v>
      </x:c>
    </x:row>
    <x:row r="187" ht="40" customHeight="1">
      <x:c r="A187" s="44" t="str">
        <x:v>Safraleine 10%</x:v>
      </x:c>
      <x:c r="B187" s="44" t="str">
        <x:v>10% working dilution</x:v>
      </x:c>
      <x:c r="C187" s="46" t="n">
        <x:v>0.1</x:v>
      </x:c>
      <x:c r="D187" s="44" t="str">
        <x:v>Leather / smoke</x:v>
      </x:c>
      <x:c r="E187" s="44" t="str">
        <x:v>PREPARED STOCK</x:v>
      </x:c>
      <x:c r="F187" s="44" t="n">
        <x:v>38</x:v>
      </x:c>
      <x:c r="G187" s="44" t="n">
        <x:v>38</x:v>
      </x:c>
      <x:c r="H187" s="44" t="str">
        <x:v>Amouage, CHANEL, Prada</x:v>
      </x:c>
      <x:c r="I187" s="48" t="n">
        <x:v>1.134</x:v>
      </x:c>
      <x:c r="J187" s="48" t="n">
        <x:v>31.179000000000002</x:v>
      </x:c>
      <x:c r="K187" s="48" t="n">
        <x:v>41.18115789473684</x:v>
      </x:c>
      <x:c r="L187" s="48" t="n">
        <x:v>89.765</x:v>
      </x:c>
      <x:c r="M187" s="46" t="n">
        <x:v>0.0011339999999999998</x:v>
      </x:c>
      <x:c r="N187" s="46" t="n">
        <x:v>0.031179000000000002</x:v>
      </x:c>
      <x:c r="O187" s="46" t="n">
        <x:v>0.089765</x:v>
      </x:c>
      <x:c r="P187" s="46" t="n">
        <x:v>0.00026082</x:v>
      </x:c>
      <x:c r="Q187" s="46" t="n">
        <x:v>0.008180375</x:v>
      </x:c>
      <x:c r="R187" s="46" t="n">
        <x:v>0.04224470999999999</x:v>
      </x:c>
      <x:c r="S187" s="46" t="n">
        <x:v>0.000026082000000000002</x:v>
      </x:c>
      <x:c r="T187" s="46" t="n">
        <x:v>0.0008180375</x:v>
      </x:c>
      <x:c r="U187" s="46" t="n">
        <x:v>0.004224471</x:v>
      </x:c>
      <x:c r="V187" s="44" t="n">
        <x:v>0</x:v>
      </x:c>
      <x:c r="W187" s="44" t="n">
        <x:v>0</x:v>
      </x:c>
      <x:c r="X187" s="44" t="str">
        <x:v>AM-E01, AM-E02, AM-E03, AM-E04, AM-E05, AM-E06, AM-E07, AM-E08, AM-E11, AM-E13, AM-E14, AM-E15, AM-E16, AM-L03, AM-L04, AM-L05, AM-L06, AM-L07, AM-L08, AM-L09, AM-N01, AM-N03, AM-N04, AM-N05, AM-N07, AM-N08, AM-N09, AM-N10, AM-N13, AM-N15, C08, PR-E07, PR-E08, PR-L04, PR-N05, PR-N06, PR-N07, PR-N14</x:v>
      </x:c>
    </x:row>
    <x:row r="188" ht="40" customHeight="1">
      <x:c r="A188" s="44" t="str">
        <x:v>Sandalore</x:v>
      </x:c>
      <x:c r="B188" s="44" t="str">
        <x:v>neat / as supplied</x:v>
      </x:c>
      <x:c r="C188" s="46" t="n">
        <x:v>1</x:v>
      </x:c>
      <x:c r="D188" s="44" t="str">
        <x:v>woods_amber</x:v>
      </x:c>
      <x:c r="E188" s="44" t="str">
        <x:v>DIRECT</x:v>
      </x:c>
      <x:c r="F188" s="44" t="n">
        <x:v>102</x:v>
      </x:c>
      <x:c r="G188" s="44" t="n">
        <x:v>102</x:v>
      </x:c>
      <x:c r="H188" s="44" t="str">
        <x:v>Amouage, CHANEL, Dior, Kenny Originals, Prada, YSL</x:v>
      </x:c>
      <x:c r="I188" s="48" t="n">
        <x:v>0.079</x:v>
      </x:c>
      <x:c r="J188" s="48" t="n">
        <x:v>13.859</x:v>
      </x:c>
      <x:c r="K188" s="48" t="n">
        <x:v>30.464558823529412</x:v>
      </x:c>
      <x:c r="L188" s="48" t="n">
        <x:v>177.561</x:v>
      </x:c>
      <x:c r="M188" s="46" t="n">
        <x:v>0.00007900000000000001</x:v>
      </x:c>
      <x:c r="N188" s="46" t="n">
        <x:v>0.013859</x:v>
      </x:c>
      <x:c r="O188" s="46" t="n">
        <x:v>0.177561</x:v>
      </x:c>
      <x:c r="P188" s="46" t="n">
        <x:v>0.00001738</x:v>
      </x:c>
      <x:c r="Q188" s="46" t="n">
        <x:v>0.0032810250000000003</x:v>
      </x:c>
      <x:c r="R188" s="46" t="n">
        <x:v>0.03196098</x:v>
      </x:c>
      <x:c r="S188" s="46" t="n">
        <x:v>0.00001738</x:v>
      </x:c>
      <x:c r="T188" s="46" t="n">
        <x:v>0.0032810250000000003</x:v>
      </x:c>
      <x:c r="U188" s="46" t="n">
        <x:v>0.03196098</x:v>
      </x:c>
      <x:c r="V188" s="44" t="n">
        <x:v>0</x:v>
      </x:c>
      <x:c r="W188" s="44" t="n">
        <x:v>0</x:v>
      </x:c>
      <x:c r="X188"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O02, O03, O04, O06, PR-E01, PR-E02, PR-E04, PR-E05, PR-E08, PR-E09, PR-L01, PR-L02, PR-L04, PR-L05, PR-N01, PR-N02, PR-N03, PR-N04, PR-N05, PR-N06, PR-N07, PR-N08, PR-N12, PR-N13, PR-N14, S01, S02, S03, S04, S05, S06, S07, S08, Y01, Y02, Y03, Y04, Y08</x:v>
      </x:c>
    </x:row>
    <x:row r="189" ht="40" customHeight="1">
      <x:c r="A189" s="44" t="str">
        <x:v>Sandalwood EO</x:v>
      </x:c>
      <x:c r="B189" s="44" t="str">
        <x:v>neat / as supplied; verify stock</x:v>
      </x:c>
      <x:c r="C189" s="46" t="n">
        <x:v>1</x:v>
      </x:c>
      <x:c r="D189" s="44" t="str">
        <x:v>Woods / amber</x:v>
      </x:c>
      <x:c r="E189" s="44" t="str">
        <x:v>VERIFY LABEL</x:v>
      </x:c>
      <x:c r="F189" s="44" t="n">
        <x:v>5</x:v>
      </x:c>
      <x:c r="G189" s="44" t="n">
        <x:v>5</x:v>
      </x:c>
      <x:c r="H189" s="44" t="str">
        <x:v>CHANEL, Prada</x:v>
      </x:c>
      <x:c r="I189" s="48" t="n">
        <x:v>1.108</x:v>
      </x:c>
      <x:c r="J189" s="48" t="n">
        <x:v>2.17</x:v>
      </x:c>
      <x:c r="K189" s="48" t="n">
        <x:v>6.6964</x:v>
      </x:c>
      <x:c r="L189" s="48" t="n">
        <x:v>18.467</x:v>
      </x:c>
      <x:c r="M189" s="46" t="n">
        <x:v>0.001108</x:v>
      </x:c>
      <x:c r="N189" s="46" t="n">
        <x:v>0.00217</x:v>
      </x:c>
      <x:c r="O189" s="46" t="n">
        <x:v>0.018466999999999997</x:v>
      </x:c>
      <x:c r="P189" s="46" t="n">
        <x:v>0.00016620000000000003</x:v>
      </x:c>
      <x:c r="Q189" s="46" t="n">
        <x:v>0.00032549999999999994</x:v>
      </x:c>
      <x:c r="R189" s="46" t="n">
        <x:v>0.0055401</x:v>
      </x:c>
      <x:c r="S189" s="46" t="n">
        <x:v>0.00016620000000000003</x:v>
      </x:c>
      <x:c r="T189" s="46" t="n">
        <x:v>0.00032549999999999994</x:v>
      </x:c>
      <x:c r="U189" s="46" t="n">
        <x:v>0.0055401</x:v>
      </x:c>
      <x:c r="V189" s="44" t="n">
        <x:v>0</x:v>
      </x:c>
      <x:c r="W189" s="44" t="n">
        <x:v>5</x:v>
      </x:c>
      <x:c r="X189" s="44" t="str">
        <x:v>C01, C07, C08, PR-L05, PR-N04</x:v>
      </x:c>
    </x:row>
    <x:row r="190" ht="40" customHeight="1">
      <x:c r="A190" s="44" t="str">
        <x:v>Siam Benzoin 50%</x:v>
      </x:c>
      <x:c r="B190" s="44" t="str">
        <x:v>50% working stock</x:v>
      </x:c>
      <x:c r="C190" s="46" t="n">
        <x:v>0.5</x:v>
      </x:c>
      <x:c r="D190" s="44" t="str">
        <x:v>sweet_balsamic</x:v>
      </x:c>
      <x:c r="E190" s="44" t="str">
        <x:v>PREPARED STOCK</x:v>
      </x:c>
      <x:c r="F190" s="44" t="n">
        <x:v>72</x:v>
      </x:c>
      <x:c r="G190" s="44" t="n">
        <x:v>72</x:v>
      </x:c>
      <x:c r="H190" s="44" t="str">
        <x:v>Amouage, CHANEL, Dior, Prada, YSL</x:v>
      </x:c>
      <x:c r="I190" s="48" t="n">
        <x:v>0.984</x:v>
      </x:c>
      <x:c r="J190" s="48" t="n">
        <x:v>24.4655</x:v>
      </x:c>
      <x:c r="K190" s="48" t="n">
        <x:v>35.17319444444445</x:v>
      </x:c>
      <x:c r="L190" s="48" t="n">
        <x:v>200.002</x:v>
      </x:c>
      <x:c r="M190" s="46" t="n">
        <x:v>0.000984</x:v>
      </x:c>
      <x:c r="N190" s="46" t="n">
        <x:v>0.0244655</x:v>
      </x:c>
      <x:c r="O190" s="46" t="n">
        <x:v>0.20000199999999999</x:v>
      </x:c>
      <x:c r="P190" s="46" t="n">
        <x:v>0.000246</x:v>
      </x:c>
      <x:c r="Q190" s="46" t="n">
        <x:v>0.006116375</x:v>
      </x:c>
      <x:c r="R190" s="46" t="n">
        <x:v>0.040000400000000005</x:v>
      </x:c>
      <x:c r="S190" s="46" t="n">
        <x:v>0.000123</x:v>
      </x:c>
      <x:c r="T190" s="46" t="n">
        <x:v>0.0030581875</x:v>
      </x:c>
      <x:c r="U190" s="46" t="n">
        <x:v>0.020000200000000003</x:v>
      </x:c>
      <x:c r="V190" s="44" t="n">
        <x:v>0</x:v>
      </x:c>
      <x:c r="W190" s="44" t="n">
        <x:v>0</x:v>
      </x:c>
      <x:c r="X190" s="44" t="str">
        <x:v>AM-E01, AM-E02, AM-E03, AM-E04, AM-E05, AM-E06, AM-E07, AM-E08, AM-E09, AM-E10, AM-E11, AM-E12, AM-E13, AM-E14, AM-E15, AM-E16, AM-L01, AM-L02, AM-L03, AM-L04, AM-L05, AM-L06, AM-L07, AM-L08, AM-L09, AM-N01, AM-N02, AM-N03, AM-N04, AM-N05, AM-N06, AM-N07, AM-N08, AM-N09, AM-N10, AM-N11, AM-N12, AM-N13, AM-N14, AM-N15, AM-N16, C07, C08, H04, H05, H07, PR-E02, PR-E04, PR-E05, PR-E06, PR-E07, PR-E08, PR-E09, PR-L01, PR-L03, PR-L04, PR-N02, PR-N05, PR-N06, PR-N07, PR-N09, PR-N10, PR-N11, PR-N12, PR-N13, S04, S05, S06, Y03, Y08, Y09, Y11</x:v>
      </x:c>
    </x:row>
    <x:row r="191" ht="40" customHeight="1">
      <x:c r="A191" s="44" t="str">
        <x:v>Spearmint EO</x:v>
      </x:c>
      <x:c r="B191" s="44" t="str">
        <x:v>target-required authentic material</x:v>
      </x:c>
      <x:c r="C191" s="46" t="n">
        <x:v>1</x:v>
      </x:c>
      <x:c r="D191" s="44" t="str">
        <x:v>Aromatic top</x:v>
      </x:c>
      <x:c r="E191" s="44" t="str">
        <x:v>TARGET REQUIRED / INVENTORY GAP</x:v>
      </x:c>
      <x:c r="F191" s="44" t="n">
        <x:v>4</x:v>
      </x:c>
      <x:c r="G191" s="44" t="n">
        <x:v>4</x:v>
      </x:c>
      <x:c r="H191" s="44" t="str">
        <x:v>Amouage, Prada</x:v>
      </x:c>
      <x:c r="I191" s="48" t="n">
        <x:v>8.761</x:v>
      </x:c>
      <x:c r="J191" s="48" t="n">
        <x:v>24.7105</x:v>
      </x:c>
      <x:c r="K191" s="48" t="n">
        <x:v>23.922</x:v>
      </x:c>
      <x:c r="L191" s="48" t="n">
        <x:v>37.506</x:v>
      </x:c>
      <x:c r="M191" s="46" t="n">
        <x:v>0.008760999999999998</x:v>
      </x:c>
      <x:c r="N191" s="46" t="n">
        <x:v>0.0247105</x:v>
      </x:c>
      <x:c r="O191" s="46" t="n">
        <x:v>0.037506</x:v>
      </x:c>
      <x:c r="P191" s="46" t="n">
        <x:v>0.0021902499999999995</x:v>
      </x:c>
      <x:c r="Q191" s="46" t="n">
        <x:v>0.004748955</x:v>
      </x:c>
      <x:c r="R191" s="46" t="n">
        <x:v>0.0112518</x:v>
      </x:c>
      <x:c r="S191" s="46" t="n">
        <x:v>0.0021902499999999995</x:v>
      </x:c>
      <x:c r="T191" s="46" t="n">
        <x:v>0.004748955</x:v>
      </x:c>
      <x:c r="U191" s="46" t="n">
        <x:v>0.0112518</x:v>
      </x:c>
      <x:c r="V191" s="44" t="n">
        <x:v>4</x:v>
      </x:c>
      <x:c r="W191" s="44" t="n">
        <x:v>0</x:v>
      </x:c>
      <x:c r="X191" s="44" t="str">
        <x:v>AM-E08, AM-E11, AM-N02, PR-N01</x:v>
      </x:c>
    </x:row>
    <x:row r="192" ht="40" customHeight="1">
      <x:c r="A192" s="44" t="str">
        <x:v>Suederal 10%</x:v>
      </x:c>
      <x:c r="B192" s="44" t="str">
        <x:v>10% working stock</x:v>
      </x:c>
      <x:c r="C192" s="46" t="n">
        <x:v>0.1</x:v>
      </x:c>
      <x:c r="D192" s="44" t="str">
        <x:v>leather</x:v>
      </x:c>
      <x:c r="E192" s="44" t="str">
        <x:v>PREPARED STOCK</x:v>
      </x:c>
      <x:c r="F192" s="44" t="n">
        <x:v>49</x:v>
      </x:c>
      <x:c r="G192" s="44" t="n">
        <x:v>49</x:v>
      </x:c>
      <x:c r="H192" s="44" t="str">
        <x:v>Amouage, CHANEL, Dior, Kenny Originals, Prada, YSL</x:v>
      </x:c>
      <x:c r="I192" s="48" t="n">
        <x:v>0.558</x:v>
      </x:c>
      <x:c r="J192" s="48" t="n">
        <x:v>74.88</x:v>
      </x:c>
      <x:c r="K192" s="48" t="n">
        <x:v>72.1873469387755</x:v>
      </x:c>
      <x:c r="L192" s="48" t="n">
        <x:v>180</x:v>
      </x:c>
      <x:c r="M192" s="46" t="n">
        <x:v>0.000558</x:v>
      </x:c>
      <x:c r="N192" s="46" t="n">
        <x:v>0.07488</x:v>
      </x:c>
      <x:c r="O192" s="46" t="n">
        <x:v>0.18</x:v>
      </x:c>
      <x:c r="P192" s="46" t="n">
        <x:v>0.0000837</x:v>
      </x:c>
      <x:c r="Q192" s="46" t="n">
        <x:v>0.0163235</x:v>
      </x:c>
      <x:c r="R192" s="46" t="n">
        <x:v>0.07075712</x:v>
      </x:c>
      <x:c r="S192" s="46" t="n">
        <x:v>0.000008370000000000001</x:v>
      </x:c>
      <x:c r="T192" s="46" t="n">
        <x:v>0.0016323500000000003</x:v>
      </x:c>
      <x:c r="U192" s="46" t="n">
        <x:v>0.0070757120000000005</x:v>
      </x:c>
      <x:c r="V192" s="44" t="n">
        <x:v>0</x:v>
      </x:c>
      <x:c r="W192" s="44" t="n">
        <x:v>0</x:v>
      </x:c>
      <x:c r="X192" s="44" t="str">
        <x:v>AM-E01, AM-E02, AM-E03, AM-E04, AM-E06, AM-E07, AM-E08, AM-E11, AM-E13, AM-E14, AM-E15, AM-E16, AM-L03, AM-L04, AM-L05, AM-L06, AM-L07, AM-L08, AM-L09, AM-N01, AM-N03, AM-N05, AM-N07, AM-N08, AM-N09, AM-N13, C08, H01, H04, H06, H07, H08, O02, O04, PR-E02, PR-E07, PR-E08, PR-L01, PR-L04, PR-N05, PR-N06, PR-N07, PR-N14, Y03, Y04, Y07, Y08, Y09, Y11</x:v>
      </x:c>
    </x:row>
    <x:row r="193" ht="40" customHeight="1">
      <x:c r="A193" s="44" t="str">
        <x:v>Timberol</x:v>
      </x:c>
      <x:c r="B193" s="44" t="str">
        <x:v>neat</x:v>
      </x:c>
      <x:c r="C193" s="46" t="n">
        <x:v>1</x:v>
      </x:c>
      <x:c r="D193" s="44" t="str">
        <x:v>Woods / amber</x:v>
      </x:c>
      <x:c r="E193" s="44" t="str">
        <x:v>DIRECT</x:v>
      </x:c>
      <x:c r="F193" s="44" t="n">
        <x:v>49</x:v>
      </x:c>
      <x:c r="G193" s="44" t="n">
        <x:v>49</x:v>
      </x:c>
      <x:c r="H193" s="44" t="str">
        <x:v>Amouage, CHANEL, Prada, YSL</x:v>
      </x:c>
      <x:c r="I193" s="48" t="n">
        <x:v>0.331</x:v>
      </x:c>
      <x:c r="J193" s="48" t="n">
        <x:v>1.949</x:v>
      </x:c>
      <x:c r="K193" s="48" t="n">
        <x:v>2.84869387755102</x:v>
      </x:c>
      <x:c r="L193" s="48" t="n">
        <x:v>14.003</x:v>
      </x:c>
      <x:c r="M193" s="46" t="n">
        <x:v>0.000331</x:v>
      </x:c>
      <x:c r="N193" s="46" t="n">
        <x:v>0.0019490000000000002</x:v>
      </x:c>
      <x:c r="O193" s="46" t="n">
        <x:v>0.014003000000000002</x:v>
      </x:c>
      <x:c r="P193" s="46" t="n">
        <x:v>0.00008275</x:v>
      </x:c>
      <x:c r="Q193" s="46" t="n">
        <x:v>0.0005495</x:v>
      </x:c>
      <x:c r="R193" s="46" t="n">
        <x:v>0.0035007500000000004</x:v>
      </x:c>
      <x:c r="S193" s="46" t="n">
        <x:v>0.00008275</x:v>
      </x:c>
      <x:c r="T193" s="46" t="n">
        <x:v>0.0005495</x:v>
      </x:c>
      <x:c r="U193" s="46" t="n">
        <x:v>0.0035007500000000004</x:v>
      </x:c>
      <x:c r="V193" s="44" t="n">
        <x:v>0</x:v>
      </x:c>
      <x:c r="W193" s="44" t="n">
        <x:v>0</x:v>
      </x:c>
      <x:c r="X193" s="44" t="str">
        <x:v>AM-E01, AM-E02, AM-E03, AM-E04, AM-E05, AM-E06, AM-E07, AM-E08, AM-E09, AM-E10, AM-E11, AM-E12, AM-E13, AM-E14, AM-E15, AM-E16, AM-L01, AM-L02, AM-L03, AM-L04, AM-L05, AM-L06, AM-L07, AM-L08, AM-L09, AM-N01, AM-N02, AM-N03, AM-N04, AM-N05, AM-N06, AM-N07, AM-N08, AM-N09, AM-N10, AM-N11, AM-N12, AM-N13, AM-N14, AM-N15, AM-N16, C07, C08, PR-E03, PR-E06, PR-N01, PR-N09, Y01, Y08</x:v>
      </x:c>
    </x:row>
    <x:row r="194" ht="40" customHeight="1">
      <x:c r="A194" s="44" t="str">
        <x:v>Tobacco Absolute 10%</x:v>
      </x:c>
      <x:c r="B194" s="44" t="str">
        <x:v>10% in DPG</x:v>
      </x:c>
      <x:c r="C194" s="46" t="n">
        <x:v>0.1</x:v>
      </x:c>
      <x:c r="D194" s="44" t="str">
        <x:v>Sweet / balsamic</x:v>
      </x:c>
      <x:c r="E194" s="44" t="str">
        <x:v>PREPARED STOCK</x:v>
      </x:c>
      <x:c r="F194" s="44" t="n">
        <x:v>35</x:v>
      </x:c>
      <x:c r="G194" s="44" t="n">
        <x:v>35</x:v>
      </x:c>
      <x:c r="H194" s="44" t="str">
        <x:v>Amouage, Dior, Prada, YSL</x:v>
      </x:c>
      <x:c r="I194" s="48" t="n">
        <x:v>0.144</x:v>
      </x:c>
      <x:c r="J194" s="48" t="n">
        <x:v>3.514</x:v>
      </x:c>
      <x:c r="K194" s="48" t="n">
        <x:v>19.749542857142856</x:v>
      </x:c>
      <x:c r="L194" s="48" t="n">
        <x:v>149.757</x:v>
      </x:c>
      <x:c r="M194" s="46" t="n">
        <x:v>0.000144</x:v>
      </x:c>
      <x:c r="N194" s="46" t="n">
        <x:v>0.0035139999999999998</x:v>
      </x:c>
      <x:c r="O194" s="46" t="n">
        <x:v>0.149757</x:v>
      </x:c>
      <x:c r="P194" s="46" t="n">
        <x:v>0.000025919999999999996</x:v>
      </x:c>
      <x:c r="Q194" s="46" t="n">
        <x:v>0.0010542</x:v>
      </x:c>
      <x:c r="R194" s="46" t="n">
        <x:v>0.032946539999999996</x:v>
      </x:c>
      <x:c r="S194" s="46" t="n">
        <x:v>0.0000025919999999999995</x:v>
      </x:c>
      <x:c r="T194" s="46" t="n">
        <x:v>0.00010541999999999999</x:v>
      </x:c>
      <x:c r="U194" s="46" t="n">
        <x:v>0.003294654</x:v>
      </x:c>
      <x:c r="V194" s="44" t="n">
        <x:v>0</x:v>
      </x:c>
      <x:c r="W194" s="44" t="n">
        <x:v>0</x:v>
      </x:c>
      <x:c r="X194" s="44" t="str">
        <x:v>AM-E02, AM-E03, AM-E04, AM-E05, AM-E06, AM-E07, AM-E08, AM-E12, AM-E13, AM-E15, AM-L02, AM-L03, AM-L04, AM-L05, AM-L06, AM-L07, AM-L08, AM-L09, AM-N03, AM-N05, AM-N08, AM-N09, AM-N11, AM-N13, AM-N15, AM-N16, H04, PR-E02, PR-N02, PR-N07, PR-N12, PR-N13, S04, S06, Y10</x:v>
      </x:c>
    </x:row>
    <x:row r="195" ht="40" customHeight="1">
      <x:c r="A195" s="44" t="str">
        <x:v>Tonalide 10%</x:v>
      </x:c>
      <x:c r="B195" s="44" t="str">
        <x:v>10% in DPG</x:v>
      </x:c>
      <x:c r="C195" s="46" t="n">
        <x:v>0.1</x:v>
      </x:c>
      <x:c r="D195" s="44" t="str">
        <x:v>Musk</x:v>
      </x:c>
      <x:c r="E195" s="44" t="str">
        <x:v>PREPARED STOCK</x:v>
      </x:c>
      <x:c r="F195" s="44" t="n">
        <x:v>78</x:v>
      </x:c>
      <x:c r="G195" s="44" t="n">
        <x:v>78</x:v>
      </x:c>
      <x:c r="H195" s="44" t="str">
        <x:v>Amouage, CHANEL, Dior, Prada, YSL</x:v>
      </x:c>
      <x:c r="I195" s="48" t="n">
        <x:v>0.074</x:v>
      </x:c>
      <x:c r="J195" s="48" t="n">
        <x:v>1.036</x:v>
      </x:c>
      <x:c r="K195" s="48" t="n">
        <x:v>4.322384615384616</x:v>
      </x:c>
      <x:c r="L195" s="48" t="n">
        <x:v>42.035</x:v>
      </x:c>
      <x:c r="M195" s="46" t="n">
        <x:v>0.000074</x:v>
      </x:c>
      <x:c r="N195" s="46" t="n">
        <x:v>0.001036</x:v>
      </x:c>
      <x:c r="O195" s="46" t="n">
        <x:v>0.042035</x:v>
      </x:c>
      <x:c r="P195" s="46" t="n">
        <x:v>0.000013319999999999998</x:v>
      </x:c>
      <x:c r="Q195" s="46" t="n">
        <x:v>0.000240125</x:v>
      </x:c>
      <x:c r="R195" s="46" t="n">
        <x:v>0.01050875</x:v>
      </x:c>
      <x:c r="S195" s="46" t="n">
        <x:v>0.000001332</x:v>
      </x:c>
      <x:c r="T195" s="46" t="n">
        <x:v>0.000024012500000000008</x:v>
      </x:c>
      <x:c r="U195" s="46" t="n">
        <x:v>0.001050875</x:v>
      </x:c>
      <x:c r="V195" s="44" t="n">
        <x:v>0</x:v>
      </x:c>
      <x:c r="W195" s="44" t="n">
        <x:v>0</x:v>
      </x:c>
      <x:c r="X195" s="44" t="str">
        <x:v>AM-E01, AM-E02, AM-E03, AM-E04, AM-E05, AM-E06, AM-E07, AM-E08, AM-E09, AM-E10, AM-E11, AM-E12, AM-E13, AM-E14, AM-E15, AM-E16, AM-L01, AM-L02, AM-L03, AM-L04, AM-L05, AM-L06, AM-L07, AM-L08, AM-L09, AM-N01, AM-N02, AM-N03, AM-N04, AM-N05, AM-N06, AM-N07, AM-N08, AM-N09, AM-N10, AM-N11, AM-N12, AM-N13, AM-N15, AM-N16, C01, C07, C08, H01, H02, H03, H04, H05, H06, H07, H08, H10, H11, H12, H13, H14, H15, PR-E05, PR-E08, PR-L01, PR-L04, PR-N02, PR-N05, PR-N06, PR-N09, PR-N12, PR-N14, S01, S02, S03, S04, S05, S06, S07, S08, Y01, Y08, Y12</x:v>
      </x:c>
    </x:row>
    <x:row r="196" ht="40" customHeight="1">
      <x:c r="A196" s="44" t="str">
        <x:v>Tonka Bean Absolute 10%</x:v>
      </x:c>
      <x:c r="B196" s="44" t="str">
        <x:v>10% working stock</x:v>
      </x:c>
      <x:c r="C196" s="46" t="n">
        <x:v>0.1</x:v>
      </x:c>
      <x:c r="D196" s="44" t="str">
        <x:v>sweet_balsamic</x:v>
      </x:c>
      <x:c r="E196" s="44" t="str">
        <x:v>PREPARED STOCK</x:v>
      </x:c>
      <x:c r="F196" s="44" t="n">
        <x:v>70</x:v>
      </x:c>
      <x:c r="G196" s="44" t="n">
        <x:v>70</x:v>
      </x:c>
      <x:c r="H196" s="44" t="str">
        <x:v>Amouage, CHANEL, Dior, Kenny Originals, Prada, YSL</x:v>
      </x:c>
      <x:c r="I196" s="48" t="n">
        <x:v>0.69</x:v>
      </x:c>
      <x:c r="J196" s="48" t="n">
        <x:v>8.268</x:v>
      </x:c>
      <x:c r="K196" s="48" t="n">
        <x:v>17.317342857142858</x:v>
      </x:c>
      <x:c r="L196" s="48" t="n">
        <x:v>180.002</x:v>
      </x:c>
      <x:c r="M196" s="46" t="n">
        <x:v>0.00069</x:v>
      </x:c>
      <x:c r="N196" s="46" t="n">
        <x:v>0.008268</x:v>
      </x:c>
      <x:c r="O196" s="46" t="n">
        <x:v>0.180002</x:v>
      </x:c>
      <x:c r="P196" s="46" t="n">
        <x:v>0.0001139</x:v>
      </x:c>
      <x:c r="Q196" s="46" t="n">
        <x:v>0.002147875</x:v>
      </x:c>
      <x:c r="R196" s="46" t="n">
        <x:v>0.03960044</x:v>
      </x:c>
      <x:c r="S196" s="46" t="n">
        <x:v>0.000011390000000000001</x:v>
      </x:c>
      <x:c r="T196" s="46" t="n">
        <x:v>0.00021478750000000004</x:v>
      </x:c>
      <x:c r="U196" s="46" t="n">
        <x:v>0.003960044</x:v>
      </x:c>
      <x:c r="V196" s="44" t="n">
        <x:v>0</x:v>
      </x:c>
      <x:c r="W196" s="44" t="n">
        <x:v>0</x:v>
      </x:c>
      <x:c r="X196" s="44" t="str">
        <x:v>AM-E02, AM-E03, AM-E04, AM-E05, AM-E06, AM-E07, AM-E08, AM-E10, AM-E11, AM-E12, AM-E13, AM-E14, AM-E15, AM-L02, AM-L03, AM-L04, AM-L05, AM-L06, AM-L08, AM-L09, AM-N01, AM-N02, AM-N04, AM-N05, AM-N06, AM-N08, AM-N09, AM-N10, AM-N11, AM-N12, AM-N13, AM-N14, AM-N15, AM-N16, C01, C02, C03, C04, C05, C06, C07, C08, H06, H13, O01, O02, O03, O05, PR-E01, PR-E02, PR-E05, PR-L01, PR-N02, PR-N05, S05, S06, Y01, Y02, Y03, Y04, Y05, Y06, Y07, Y08, Y09, Y10, Y11, Y12, Y13, Y14</x:v>
      </x:c>
    </x:row>
    <x:row r="197" ht="40" customHeight="1">
      <x:c r="A197" s="44" t="str">
        <x:v>Turkish Storax Tincture</x:v>
      </x:c>
      <x:c r="B197" s="44" t="str">
        <x:v>10 g resin + 40 g ethanol; product basis</x:v>
      </x:c>
      <x:c r="C197" s="46"/>
      <x:c r="D197" s="44" t="str">
        <x:v>resin_incense</x:v>
      </x:c>
      <x:c r="E197" s="44" t="str">
        <x:v>PRODUCT BASIS</x:v>
      </x:c>
      <x:c r="F197" s="44" t="n">
        <x:v>45</x:v>
      </x:c>
      <x:c r="G197" s="44" t="n">
        <x:v>45</x:v>
      </x:c>
      <x:c r="H197" s="44" t="str">
        <x:v>Amouage, CHANEL, Kenny Originals, Prada, YSL</x:v>
      </x:c>
      <x:c r="I197" s="48" t="n">
        <x:v>1.217</x:v>
      </x:c>
      <x:c r="J197" s="48" t="n">
        <x:v>11.034</x:v>
      </x:c>
      <x:c r="K197" s="48" t="n">
        <x:v>24.893733333333333</x:v>
      </x:c>
      <x:c r="L197" s="48" t="n">
        <x:v>152.633</x:v>
      </x:c>
      <x:c r="M197" s="46" t="n">
        <x:v>0.001217</x:v>
      </x:c>
      <x:c r="N197" s="46" t="n">
        <x:v>0.011034000000000002</x:v>
      </x:c>
      <x:c r="O197" s="46" t="n">
        <x:v>0.15263300000000002</x:v>
      </x:c>
      <x:c r="P197" s="46" t="n">
        <x:v>0.0003651</x:v>
      </x:c>
      <x:c r="Q197" s="46" t="n">
        <x:v>0.00276</x:v>
      </x:c>
      <x:c r="R197" s="46" t="n">
        <x:v>0.038158250000000005</x:v>
      </x:c>
      <x:c r="S197" s="46"/>
      <x:c r="T197" s="46"/>
      <x:c r="U197" s="46"/>
      <x:c r="V197" s="44" t="n">
        <x:v>0</x:v>
      </x:c>
      <x:c r="W197" s="44" t="n">
        <x:v>0</x:v>
      </x:c>
      <x:c r="X197" s="44" t="str">
        <x:v>AM-E01, AM-E02, AM-E03, AM-E04, AM-E05, AM-E06, AM-E07, AM-E08, AM-E10, AM-E11, AM-E12, AM-E13, AM-E14, AM-E15, AM-E16, AM-L03, AM-L04, AM-L05, AM-L06, AM-L07, AM-L08, AM-L09, AM-N01, AM-N02, AM-N03, AM-N04, AM-N05, AM-N07, AM-N08, AM-N09, AM-N10, AM-N11, AM-N12, AM-N13, AM-N15, AM-N16, C08, O04, O05, PR-E08, PR-N05, PR-N07, PR-N09, Y09, Y11</x:v>
      </x:c>
    </x:row>
    <x:row r="198" ht="40" customHeight="1">
      <x:c r="A198" s="44" t="str">
        <x:v>Turkish Storax Tincture 20% nominal</x:v>
      </x:c>
      <x:c r="B198" s="44" t="str">
        <x:v>10 g resin + 40 g ethanol; nominal 20% starting resin</x:v>
      </x:c>
      <x:c r="C198" s="46"/>
      <x:c r="D198" s="44" t="str">
        <x:v>Resin / Incense</x:v>
      </x:c>
      <x:c r="E198" s="44" t="str">
        <x:v>NOMINAL TINCTURE</x:v>
      </x:c>
      <x:c r="F198" s="44" t="n">
        <x:v>2</x:v>
      </x:c>
      <x:c r="G198" s="44" t="n">
        <x:v>2</x:v>
      </x:c>
      <x:c r="H198" s="44" t="str">
        <x:v>Prada, YSL</x:v>
      </x:c>
      <x:c r="I198" s="48" t="n">
        <x:v>14.258</x:v>
      </x:c>
      <x:c r="J198" s="48" t="n">
        <x:v>33.475</x:v>
      </x:c>
      <x:c r="K198" s="48" t="n">
        <x:v>33.475</x:v>
      </x:c>
      <x:c r="L198" s="48" t="n">
        <x:v>52.692</x:v>
      </x:c>
      <x:c r="M198" s="46" t="n">
        <x:v>0.014258</x:v>
      </x:c>
      <x:c r="N198" s="46" t="n">
        <x:v>0.033475</x:v>
      </x:c>
      <x:c r="O198" s="46" t="n">
        <x:v>0.052691999999999996</x:v>
      </x:c>
      <x:c r="P198" s="46" t="n">
        <x:v>0.0031367599999999997</x:v>
      </x:c>
      <x:c r="Q198" s="46" t="n">
        <x:v>0.0073645</x:v>
      </x:c>
      <x:c r="R198" s="46" t="n">
        <x:v>0.01159224</x:v>
      </x:c>
      <x:c r="S198" s="46"/>
      <x:c r="T198" s="46"/>
      <x:c r="U198" s="46"/>
      <x:c r="V198" s="44" t="n">
        <x:v>0</x:v>
      </x:c>
      <x:c r="W198" s="44" t="n">
        <x:v>0</x:v>
      </x:c>
      <x:c r="X198" s="44" t="str">
        <x:v>PR-E02, Y09</x:v>
      </x:c>
    </x:row>
    <x:row r="199" ht="40" customHeight="1">
      <x:c r="A199" s="44" t="str">
        <x:v>Ultralia</x:v>
      </x:c>
      <x:c r="B199" s="44" t="str">
        <x:v>neat</x:v>
      </x:c>
      <x:c r="C199" s="46" t="n">
        <x:v>1</x:v>
      </x:c>
      <x:c r="D199" s="44" t="str">
        <x:v>Iris / violet</x:v>
      </x:c>
      <x:c r="E199" s="44" t="str">
        <x:v>DIRECT</x:v>
      </x:c>
      <x:c r="F199" s="44" t="n">
        <x:v>40</x:v>
      </x:c>
      <x:c r="G199" s="44" t="n">
        <x:v>40</x:v>
      </x:c>
      <x:c r="H199" s="44" t="str">
        <x:v>Amouage, Dior, Kenny Originals, Prada, YSL</x:v>
      </x:c>
      <x:c r="I199" s="48" t="n">
        <x:v>0.065</x:v>
      </x:c>
      <x:c r="J199" s="48" t="n">
        <x:v>18.136499999999998</x:v>
      </x:c>
      <x:c r="K199" s="48" t="n">
        <x:v>17.1075</x:v>
      </x:c>
      <x:c r="L199" s="48" t="n">
        <x:v>52.874</x:v>
      </x:c>
      <x:c r="M199" s="46" t="n">
        <x:v>0.00006500000000000001</x:v>
      </x:c>
      <x:c r="N199" s="46" t="n">
        <x:v>0.0181365</x:v>
      </x:c>
      <x:c r="O199" s="46" t="n">
        <x:v>0.052874</x:v>
      </x:c>
      <x:c r="P199" s="46" t="n">
        <x:v>0.000013000000000000001</x:v>
      </x:c>
      <x:c r="Q199" s="46" t="n">
        <x:v>0.00338386</x:v>
      </x:c>
      <x:c r="R199" s="46" t="n">
        <x:v>0.01216102</x:v>
      </x:c>
      <x:c r="S199" s="46" t="n">
        <x:v>0.000013000000000000001</x:v>
      </x:c>
      <x:c r="T199" s="46" t="n">
        <x:v>0.00338386</x:v>
      </x:c>
      <x:c r="U199" s="46" t="n">
        <x:v>0.01216102</x:v>
      </x:c>
      <x:c r="V199" s="44" t="n">
        <x:v>0</x:v>
      </x:c>
      <x:c r="W199" s="44" t="n">
        <x:v>0</x:v>
      </x:c>
      <x:c r="X199" s="44" t="str">
        <x:v>AM-E01, AM-E02, AM-E05, AM-E06, AM-E08, AM-E09, AM-E10, AM-L01, AM-L04, AM-L05, AM-L07, AM-L08, AM-L09, AM-N01, AM-N04, AM-N05, AM-N06, AM-N08, AM-N12, AM-N13, AM-N16, H01, H02, H04, H05, H06, H07, H08, O01, O02, O04, PR-E01, PR-E02, PR-L03, PR-L04, PR-L05, PR-N02, PR-N04, PR-N11, Y01</x:v>
      </x:c>
    </x:row>
    <x:row r="200" ht="40" customHeight="1">
      <x:c r="A200" s="44" t="str">
        <x:v>Undecavertol 1%</x:v>
      </x:c>
      <x:c r="B200" s="44" t="str">
        <x:v>1% working stock</x:v>
      </x:c>
      <x:c r="C200" s="46" t="n">
        <x:v>0.01</x:v>
      </x:c>
      <x:c r="D200" s="44" t="str">
        <x:v>green_fruit</x:v>
      </x:c>
      <x:c r="E200" s="44" t="str">
        <x:v>TRACE PREMIX</x:v>
      </x:c>
      <x:c r="F200" s="44" t="n">
        <x:v>12</x:v>
      </x:c>
      <x:c r="G200" s="44" t="n">
        <x:v>12</x:v>
      </x:c>
      <x:c r="H200" s="44" t="str">
        <x:v>CHANEL, Kenny Originals, YSL</x:v>
      </x:c>
      <x:c r="I200" s="48" t="n">
        <x:v>0.128</x:v>
      </x:c>
      <x:c r="J200" s="48" t="n">
        <x:v>0.227</x:v>
      </x:c>
      <x:c r="K200" s="48" t="n">
        <x:v>2.004</x:v>
      </x:c>
      <x:c r="L200" s="48" t="n">
        <x:v>15.722</x:v>
      </x:c>
      <x:c r="M200" s="46" t="n">
        <x:v>0.000128</x:v>
      </x:c>
      <x:c r="N200" s="46" t="n">
        <x:v>0.00022700000000000002</x:v>
      </x:c>
      <x:c r="O200" s="46" t="n">
        <x:v>0.015722</x:v>
      </x:c>
      <x:c r="P200" s="46" t="n">
        <x:v>0.000016</x:v>
      </x:c>
      <x:c r="Q200" s="46" t="n">
        <x:v>0.0000421</x:v>
      </x:c>
      <x:c r="R200" s="46" t="n">
        <x:v>0.0023583</x:v>
      </x:c>
      <x:c r="S200" s="46" t="n">
        <x:v>1.6000000000000003e-7</x:v>
      </x:c>
      <x:c r="T200" s="46" t="n">
        <x:v>4.210000000000001e-7</x:v>
      </x:c>
      <x:c r="U200" s="46" t="n">
        <x:v>0.000023582999999999998</x:v>
      </x:c>
      <x:c r="V200" s="44" t="n">
        <x:v>0</x:v>
      </x:c>
      <x:c r="W200" s="44" t="n">
        <x:v>0</x:v>
      </x:c>
      <x:c r="X200" s="44" t="str">
        <x:v>C01, C03, C04, C06, O04, Y07, Y09, Y10, Y11, Y12, Y13, Y14</x:v>
      </x:c>
    </x:row>
    <x:row r="201" ht="40" customHeight="1">
      <x:c r="A201" s="44" t="str">
        <x:v>Vanillin 10%</x:v>
      </x:c>
      <x:c r="B201" s="44" t="str">
        <x:v>10% working stock</x:v>
      </x:c>
      <x:c r="C201" s="46" t="n">
        <x:v>0.1</x:v>
      </x:c>
      <x:c r="D201" s="44" t="str">
        <x:v>sweet_balsamic</x:v>
      </x:c>
      <x:c r="E201" s="44" t="str">
        <x:v>PREPARED STOCK</x:v>
      </x:c>
      <x:c r="F201" s="44" t="n">
        <x:v>76</x:v>
      </x:c>
      <x:c r="G201" s="44" t="n">
        <x:v>76</x:v>
      </x:c>
      <x:c r="H201" s="44" t="str">
        <x:v>Amouage, CHANEL, Dior, Kenny Originals, Prada, YSL</x:v>
      </x:c>
      <x:c r="I201" s="48" t="n">
        <x:v>0.949</x:v>
      </x:c>
      <x:c r="J201" s="48" t="n">
        <x:v>17.2155</x:v>
      </x:c>
      <x:c r="K201" s="48" t="n">
        <x:v>39.65785526315789</x:v>
      </x:c>
      <x:c r="L201" s="48" t="n">
        <x:v>180.002</x:v>
      </x:c>
      <x:c r="M201" s="46" t="n">
        <x:v>0.000949</x:v>
      </x:c>
      <x:c r="N201" s="46" t="n">
        <x:v>0.0172155</x:v>
      </x:c>
      <x:c r="O201" s="46" t="n">
        <x:v>0.180002</x:v>
      </x:c>
      <x:c r="P201" s="46" t="n">
        <x:v>0.00014234999999999996</x:v>
      </x:c>
      <x:c r="Q201" s="46" t="n">
        <x:v>0.00377505</x:v>
      </x:c>
      <x:c r="R201" s="46" t="n">
        <x:v>0.037479</x:v>
      </x:c>
      <x:c r="S201" s="46" t="n">
        <x:v>0.000014234999999999998</x:v>
      </x:c>
      <x:c r="T201" s="46" t="n">
        <x:v>0.00037750500000000004</x:v>
      </x:c>
      <x:c r="U201" s="46" t="n">
        <x:v>0.0037479</x:v>
      </x:c>
      <x:c r="V201" s="44" t="n">
        <x:v>0</x:v>
      </x:c>
      <x:c r="W201" s="44" t="n">
        <x:v>0</x:v>
      </x:c>
      <x:c r="X201" s="44" t="str">
        <x:v>AM-E01, AM-E02, AM-E03, AM-E04, AM-E05, AM-E06, AM-E07, AM-E08, AM-E10, AM-E11, AM-E12, AM-E13, AM-E14, AM-E15, AM-E16, AM-L02, AM-L03, AM-L04, AM-L05, AM-L06, AM-L07, AM-L08, AM-L09, AM-N01, AM-N02, AM-N04, AM-N05, AM-N06, AM-N08, AM-N09, AM-N10, AM-N11, AM-N12, AM-N13, AM-N14, AM-N15, AM-N16, C01, C02, C05, C07, C08, H01, H04, H05, H06, H07, H08, H13, O04, O05, O06, PR-E02, PR-E04, PR-E05, PR-E06, PR-E08, PR-E09, PR-L01, PR-L04, PR-N02, PR-N05, PR-N06, PR-N07, PR-N12, PR-N13, S04, S05, S06, Y01, Y02, Y08, Y09, Y10, Y11, Y13</x:v>
      </x:c>
    </x:row>
    <x:row r="202" ht="40" customHeight="1">
      <x:c r="A202" s="44" t="str">
        <x:v>Verdox</x:v>
      </x:c>
      <x:c r="B202" s="44" t="str">
        <x:v>neat / as supplied</x:v>
      </x:c>
      <x:c r="C202" s="46" t="n">
        <x:v>1</x:v>
      </x:c>
      <x:c r="D202" s="44" t="str">
        <x:v>green_fruit</x:v>
      </x:c>
      <x:c r="E202" s="44" t="str">
        <x:v>DIRECT</x:v>
      </x:c>
      <x:c r="F202" s="44" t="n">
        <x:v>3</x:v>
      </x:c>
      <x:c r="G202" s="44" t="n">
        <x:v>3</x:v>
      </x:c>
      <x:c r="H202" s="44" t="str">
        <x:v>Kenny Originals, YSL</x:v>
      </x:c>
      <x:c r="I202" s="48" t="n">
        <x:v>4.632</x:v>
      </x:c>
      <x:c r="J202" s="48" t="n">
        <x:v>25.98</x:v>
      </x:c>
      <x:c r="K202" s="48" t="n">
        <x:v>23.961</x:v>
      </x:c>
      <x:c r="L202" s="48" t="n">
        <x:v>41.271</x:v>
      </x:c>
      <x:c r="M202" s="46" t="n">
        <x:v>0.004632</x:v>
      </x:c>
      <x:c r="N202" s="46" t="n">
        <x:v>0.02598</x:v>
      </x:c>
      <x:c r="O202" s="46" t="n">
        <x:v>0.041271</x:v>
      </x:c>
      <x:c r="P202" s="46" t="n">
        <x:v>0.00101904</x:v>
      </x:c>
      <x:c r="Q202" s="46" t="n">
        <x:v>0.0057156</x:v>
      </x:c>
      <x:c r="R202" s="46" t="n">
        <x:v>0.007428779999999999</x:v>
      </x:c>
      <x:c r="S202" s="46" t="n">
        <x:v>0.00101904</x:v>
      </x:c>
      <x:c r="T202" s="46" t="n">
        <x:v>0.0057156</x:v>
      </x:c>
      <x:c r="U202" s="46" t="n">
        <x:v>0.007428779999999999</x:v>
      </x:c>
      <x:c r="V202" s="44" t="n">
        <x:v>0</x:v>
      </x:c>
      <x:c r="W202" s="44" t="n">
        <x:v>0</x:v>
      </x:c>
      <x:c r="X202" s="44" t="str">
        <x:v>O06, Y02, Y13</x:v>
      </x:c>
    </x:row>
    <x:row r="203" ht="40" customHeight="1">
      <x:c r="A203" s="44" t="str">
        <x:v>Vertofix</x:v>
      </x:c>
      <x:c r="B203" s="44" t="str">
        <x:v>neat / as supplied</x:v>
      </x:c>
      <x:c r="C203" s="46" t="n">
        <x:v>1</x:v>
      </x:c>
      <x:c r="D203" s="44" t="str">
        <x:v>woods_amber</x:v>
      </x:c>
      <x:c r="E203" s="44" t="str">
        <x:v>DIRECT</x:v>
      </x:c>
      <x:c r="F203" s="44" t="n">
        <x:v>95</x:v>
      </x:c>
      <x:c r="G203" s="44" t="n">
        <x:v>95</x:v>
      </x:c>
      <x:c r="H203" s="44" t="str">
        <x:v>Amouage, CHANEL, Dior, Kenny Originals, Prada, YSL</x:v>
      </x:c>
      <x:c r="I203" s="48" t="n">
        <x:v>0.31</x:v>
      </x:c>
      <x:c r="J203" s="48" t="n">
        <x:v>8.911</x:v>
      </x:c>
      <x:c r="K203" s="48" t="n">
        <x:v>12.092484210526315</x:v>
      </x:c>
      <x:c r="L203" s="48" t="n">
        <x:v>55.221</x:v>
      </x:c>
      <x:c r="M203" s="46" t="n">
        <x:v>0.00031</x:v>
      </x:c>
      <x:c r="N203" s="46" t="n">
        <x:v>0.008911</x:v>
      </x:c>
      <x:c r="O203" s="46" t="n">
        <x:v>0.055221</x:v>
      </x:c>
      <x:c r="P203" s="46" t="n">
        <x:v>0.00006819999999999999</x:v>
      </x:c>
      <x:c r="Q203" s="46" t="n">
        <x:v>0.00196325</x:v>
      </x:c>
      <x:c r="R203" s="46" t="n">
        <x:v>0.011044199999999999</x:v>
      </x:c>
      <x:c r="S203" s="46" t="n">
        <x:v>0.00006819999999999999</x:v>
      </x:c>
      <x:c r="T203" s="46" t="n">
        <x:v>0.00196325</x:v>
      </x:c>
      <x:c r="U203" s="46" t="n">
        <x:v>0.011044199999999999</x:v>
      </x:c>
      <x:c r="V203" s="44" t="n">
        <x:v>0</x:v>
      </x:c>
      <x:c r="W203" s="44" t="n">
        <x:v>0</x:v>
      </x:c>
      <x:c r="X203"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C08, H01, H02, H03, H04, H05, H06, H07, H08, H10, H11, H12, H13, H14, H15, O01, O02, O03, O05, O06, PR-E01, PR-E02, PR-E04, PR-E05, PR-E07, PR-N01, PR-N02, PR-N03, PR-N07, PR-N08, S01, S02, S03, S04, S05, S06, S07, S08, Y02, Y03, Y04, Y05, Y06, Y07, Y10, Y12, Y13, Y14</x:v>
      </x:c>
    </x:row>
    <x:row r="204" ht="40" customHeight="1">
      <x:c r="A204" s="44" t="str">
        <x:v>Vetival</x:v>
      </x:c>
      <x:c r="B204" s="44" t="str">
        <x:v>neat</x:v>
      </x:c>
      <x:c r="C204" s="46" t="n">
        <x:v>1</x:v>
      </x:c>
      <x:c r="D204" s="44" t="str">
        <x:v>Woods / amber</x:v>
      </x:c>
      <x:c r="E204" s="44" t="str">
        <x:v>DIRECT</x:v>
      </x:c>
      <x:c r="F204" s="44" t="n">
        <x:v>83</x:v>
      </x:c>
      <x:c r="G204" s="44" t="n">
        <x:v>83</x:v>
      </x:c>
      <x:c r="H204" s="44" t="str">
        <x:v>Amouage, CHANEL, Dior, Kenny Originals, Prada, YSL</x:v>
      </x:c>
      <x:c r="I204" s="48" t="n">
        <x:v>0.063</x:v>
      </x:c>
      <x:c r="J204" s="48" t="n">
        <x:v>10.632</x:v>
      </x:c>
      <x:c r="K204" s="48" t="n">
        <x:v>12.801132530120482</x:v>
      </x:c>
      <x:c r="L204" s="48" t="n">
        <x:v>54.588</x:v>
      </x:c>
      <x:c r="M204" s="46" t="n">
        <x:v>0.000063</x:v>
      </x:c>
      <x:c r="N204" s="46" t="n">
        <x:v>0.010631999999999999</x:v>
      </x:c>
      <x:c r="O204" s="46" t="n">
        <x:v>0.054588</x:v>
      </x:c>
      <x:c r="P204" s="46" t="n">
        <x:v>0.000013860000000000001</x:v>
      </x:c>
      <x:c r="Q204" s="46" t="n">
        <x:v>0.00219606</x:v>
      </x:c>
      <x:c r="R204" s="46" t="n">
        <x:v>0.014358299999999997</x:v>
      </x:c>
      <x:c r="S204" s="46" t="n">
        <x:v>0.000013860000000000001</x:v>
      </x:c>
      <x:c r="T204" s="46" t="n">
        <x:v>0.00219606</x:v>
      </x:c>
      <x:c r="U204" s="46" t="n">
        <x:v>0.014358299999999997</x:v>
      </x:c>
      <x:c r="V204" s="44" t="n">
        <x:v>0</x:v>
      </x:c>
      <x:c r="W204" s="44" t="n">
        <x:v>0</x:v>
      </x:c>
      <x:c r="X204" s="44" t="str">
        <x:v>AM-E01, AM-E02, AM-E03, AM-E04, AM-E05, AM-E06, AM-E07, AM-E08, AM-E09, AM-E10, AM-E11, AM-E12, AM-E13, AM-E14, AM-E15, AM-E16, AM-L01, AM-L02, AM-L03, AM-L04, AM-L05, AM-L06, AM-L07, AM-L08, AM-L09, AM-N01, AM-N02, AM-N03, AM-N04, AM-N05, AM-N06, AM-N07, AM-N08, AM-N09, AM-N10, AM-N11, AM-N12, AM-N13, AM-N14, AM-N15, AM-N16, C07, C08, H01, H02, H03, H04, H05, H06, H07, H08, H10, H11, H12, H13, H14, H15, O03, O06, PR-E04, PR-E05, PR-E07, PR-L02, PR-L03, PR-N02, PR-N03, PR-N04, PR-N07, PR-N08, PR-N10, PR-N14, S01, S02, S03, S04, S05, S06, S07, S08, Y01, Y02, Y08, Y12</x:v>
      </x:c>
    </x:row>
    <x:row r="205" ht="40" customHeight="1">
      <x:c r="A205" s="44" t="str">
        <x:v>Vetiver EO</x:v>
      </x:c>
      <x:c r="B205" s="44" t="str">
        <x:v>neat / as supplied</x:v>
      </x:c>
      <x:c r="C205" s="46" t="n">
        <x:v>1</x:v>
      </x:c>
      <x:c r="D205" s="44" t="str">
        <x:v>woods_amber</x:v>
      </x:c>
      <x:c r="E205" s="44" t="str">
        <x:v>DIRECT</x:v>
      </x:c>
      <x:c r="F205" s="44" t="n">
        <x:v>96</x:v>
      </x:c>
      <x:c r="G205" s="44" t="n">
        <x:v>96</x:v>
      </x:c>
      <x:c r="H205" s="44" t="str">
        <x:v>Amouage, CHANEL, Dior, Kenny Originals, Prada, YSL</x:v>
      </x:c>
      <x:c r="I205" s="48" t="n">
        <x:v>3.125</x:v>
      </x:c>
      <x:c r="J205" s="48" t="n">
        <x:v>20.626</x:v>
      </x:c>
      <x:c r="K205" s="48" t="n">
        <x:v>32.9874375</x:v>
      </x:c>
      <x:c r="L205" s="48" t="n">
        <x:v>155.773</x:v>
      </x:c>
      <x:c r="M205" s="46" t="n">
        <x:v>0.003125</x:v>
      </x:c>
      <x:c r="N205" s="46" t="n">
        <x:v>0.020626000000000002</x:v>
      </x:c>
      <x:c r="O205" s="46" t="n">
        <x:v>0.155773</x:v>
      </x:c>
      <x:c r="P205" s="46" t="n">
        <x:v>0.0003997</x:v>
      </x:c>
      <x:c r="Q205" s="46" t="n">
        <x:v>0.00505244</x:v>
      </x:c>
      <x:c r="R205" s="46" t="n">
        <x:v>0.0376383</x:v>
      </x:c>
      <x:c r="S205" s="46" t="n">
        <x:v>0.0003997</x:v>
      </x:c>
      <x:c r="T205" s="46" t="n">
        <x:v>0.00505244</x:v>
      </x:c>
      <x:c r="U205" s="46" t="n">
        <x:v>0.0376383</x:v>
      </x:c>
      <x:c r="V205" s="44" t="n">
        <x:v>0</x:v>
      </x:c>
      <x:c r="W205" s="44" t="n">
        <x:v>0</x:v>
      </x:c>
      <x:c r="X205"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C08, H01, H02, H03, H04, H05, H06, H07, H08, H09, H10, H11, H12, H13, H14, H15, O01, O02, O03, O04, O05, O06, PR-E01, PR-L03, PR-N01, PR-N03, PR-N14, S01, S02, S03, S04, S05, S06, S07, S08, Y01, Y02, Y03, Y04, Y05, Y06, Y07, Y08, Y09, Y10, Y11, Y12, Y13, Y14</x:v>
      </x:c>
    </x:row>
    <x:row r="206" ht="40" customHeight="1">
      <x:c r="A206" s="44" t="str">
        <x:v>Vietnamese Benzoin Tincture</x:v>
      </x:c>
      <x:c r="B206" s="44" t="str">
        <x:v>10 g resin + 40 g ethanol; product basis</x:v>
      </x:c>
      <x:c r="C206" s="46"/>
      <x:c r="D206" s="44" t="str">
        <x:v>sweet_balsamic</x:v>
      </x:c>
      <x:c r="E206" s="44" t="str">
        <x:v>PRODUCT BASIS</x:v>
      </x:c>
      <x:c r="F206" s="44" t="n">
        <x:v>40</x:v>
      </x:c>
      <x:c r="G206" s="44" t="n">
        <x:v>40</x:v>
      </x:c>
      <x:c r="H206" s="44" t="str">
        <x:v>Amouage, CHANEL, Kenny Originals</x:v>
      </x:c>
      <x:c r="I206" s="48" t="n">
        <x:v>0.523</x:v>
      </x:c>
      <x:c r="J206" s="48" t="n">
        <x:v>5.432499999999999</x:v>
      </x:c>
      <x:c r="K206" s="48" t="n">
        <x:v>8.793675</x:v>
      </x:c>
      <x:c r="L206" s="48" t="n">
        <x:v>103.88</x:v>
      </x:c>
      <x:c r="M206" s="46" t="n">
        <x:v>0.000523</x:v>
      </x:c>
      <x:c r="N206" s="46" t="n">
        <x:v>0.0054325</x:v>
      </x:c>
      <x:c r="O206" s="46" t="n">
        <x:v>0.10388</x:v>
      </x:c>
      <x:c r="P206" s="46" t="n">
        <x:v>0.00015528</x:v>
      </x:c>
      <x:c r="Q206" s="46" t="n">
        <x:v>0.001417275</x:v>
      </x:c>
      <x:c r="R206" s="46" t="n">
        <x:v>0.022853599999999998</x:v>
      </x:c>
      <x:c r="S206" s="46"/>
      <x:c r="T206" s="46"/>
      <x:c r="U206" s="46"/>
      <x:c r="V206" s="44" t="n">
        <x:v>0</x:v>
      </x:c>
      <x:c r="W206" s="44" t="n">
        <x:v>0</x:v>
      </x:c>
      <x:c r="X206" s="44" t="str">
        <x:v>AM-E01, AM-E02, AM-E03, AM-E04, AM-E05, AM-E06, AM-E07, AM-E08, AM-E10, AM-E11, AM-E12, AM-E13, AM-E14, AM-E15, AM-E16, AM-L02, AM-L03, AM-L04, AM-L05, AM-L06, AM-L08, AM-L09, AM-N01, AM-N02, AM-N04, AM-N05, AM-N06, AM-N07, AM-N08, AM-N09, AM-N10, AM-N11, AM-N12, AM-N13, AM-N14, AM-N15, AM-N16, C08, O05, O06</x:v>
      </x:c>
    </x:row>
    <x:row r="207" ht="40" customHeight="1">
      <x:c r="A207" s="44" t="str">
        <x:v>Violet Leaf Absolute 10%</x:v>
      </x:c>
      <x:c r="B207" s="44" t="str">
        <x:v>10% working stock</x:v>
      </x:c>
      <x:c r="C207" s="46" t="n">
        <x:v>0.1</x:v>
      </x:c>
      <x:c r="D207" s="44" t="str">
        <x:v>orris_violet</x:v>
      </x:c>
      <x:c r="E207" s="44" t="str">
        <x:v>PREPARED STOCK</x:v>
      </x:c>
      <x:c r="F207" s="44" t="n">
        <x:v>56</x:v>
      </x:c>
      <x:c r="G207" s="44" t="n">
        <x:v>56</x:v>
      </x:c>
      <x:c r="H207" s="44" t="str">
        <x:v>Amouage, CHANEL, Dior, Kenny Originals, Prada, YSL</x:v>
      </x:c>
      <x:c r="I207" s="48" t="n">
        <x:v>0.431</x:v>
      </x:c>
      <x:c r="J207" s="48" t="n">
        <x:v>4.0185</x:v>
      </x:c>
      <x:c r="K207" s="48" t="n">
        <x:v>6.757178571428572</x:v>
      </x:c>
      <x:c r="L207" s="48" t="n">
        <x:v>60</x:v>
      </x:c>
      <x:c r="M207" s="46" t="n">
        <x:v>0.000431</x:v>
      </x:c>
      <x:c r="N207" s="46" t="n">
        <x:v>0.0040185</x:v>
      </x:c>
      <x:c r="O207" s="46" t="n">
        <x:v>0.06</x:v>
      </x:c>
      <x:c r="P207" s="46" t="n">
        <x:v>0.0001176</x:v>
      </x:c>
      <x:c r="Q207" s="46" t="n">
        <x:v>0.0008918800000000001</x:v>
      </x:c>
      <x:c r="R207" s="46" t="n">
        <x:v>0.009000000000000001</x:v>
      </x:c>
      <x:c r="S207" s="46" t="n">
        <x:v>0.00001176</x:v>
      </x:c>
      <x:c r="T207" s="46" t="n">
        <x:v>0.00008918800000000001</x:v>
      </x:c>
      <x:c r="U207" s="46" t="n">
        <x:v>0.0009000000000000001</x:v>
      </x:c>
      <x:c r="V207" s="44" t="n">
        <x:v>0</x:v>
      </x:c>
      <x:c r="W207" s="44" t="n">
        <x:v>0</x:v>
      </x:c>
      <x:c r="X207" s="44" t="str">
        <x:v>AM-E01, AM-E03, AM-E04, AM-E06, AM-E08, AM-E09, AM-E10, AM-E11, AM-E13, AM-L01, AM-L02, AM-L03, AM-L05, AM-L07, AM-L09, AM-N01, AM-N02, AM-N03, AM-N06, AM-N07, AM-N10, AM-N12, AM-N13, AM-N14, AM-N15, AM-N16, C07, H01, H02, H04, H05, H06, H07, H08, H13, H14, O01, O02, O04, O06, PR-E01, PR-E07, PR-N02, S01, S02, S03, Y01, Y02, Y03, Y04, Y05, Y06, Y07, Y08, Y09, Y11</x:v>
      </x:c>
    </x:row>
    <x:row r="208" ht="40" customHeight="1">
      <x:c r="A208" s="44" t="str">
        <x:v>White Pepper Accord 10%</x:v>
      </x:c>
      <x:c r="B208" s="44" t="str">
        <x:v>10% functional accord in DPG</x:v>
      </x:c>
      <x:c r="C208" s="46" t="n">
        <x:v>0.1</x:v>
      </x:c>
      <x:c r="D208" s="44" t="str">
        <x:v>Spice</x:v>
      </x:c>
      <x:c r="E208" s="44" t="str">
        <x:v>PREPARED STOCK</x:v>
      </x:c>
      <x:c r="F208" s="44" t="n">
        <x:v>3</x:v>
      </x:c>
      <x:c r="G208" s="44" t="n">
        <x:v>3</x:v>
      </x:c>
      <x:c r="H208" s="44" t="str">
        <x:v>Dior, Prada, YSL</x:v>
      </x:c>
      <x:c r="I208" s="48" t="n">
        <x:v>8.093</x:v>
      </x:c>
      <x:c r="J208" s="48" t="n">
        <x:v>27.334</x:v>
      </x:c>
      <x:c r="K208" s="48" t="n">
        <x:v>26.976666666666667</x:v>
      </x:c>
      <x:c r="L208" s="48" t="n">
        <x:v>45.503</x:v>
      </x:c>
      <x:c r="M208" s="46" t="n">
        <x:v>0.008093</x:v>
      </x:c>
      <x:c r="N208" s="46" t="n">
        <x:v>0.027334</x:v>
      </x:c>
      <x:c r="O208" s="46" t="n">
        <x:v>0.045503</x:v>
      </x:c>
      <x:c r="P208" s="46" t="n">
        <x:v>0.00186139</x:v>
      </x:c>
      <x:c r="Q208" s="46" t="n">
        <x:v>0.004100099999999999</x:v>
      </x:c>
      <x:c r="R208" s="46" t="n">
        <x:v>0.006825449999999999</x:v>
      </x:c>
      <x:c r="S208" s="46" t="n">
        <x:v>0.000186139</x:v>
      </x:c>
      <x:c r="T208" s="46" t="n">
        <x:v>0.00041000999999999993</x:v>
      </x:c>
      <x:c r="U208" s="46" t="n">
        <x:v>0.000682545</x:v>
      </x:c>
      <x:c r="V208" s="44" t="n">
        <x:v>0</x:v>
      </x:c>
      <x:c r="W208" s="44" t="n">
        <x:v>0</x:v>
      </x:c>
      <x:c r="X208" s="44" t="str">
        <x:v>PR-L04, S02, Y01</x:v>
      </x:c>
    </x:row>
    <x:row r="209" ht="40" customHeight="1">
      <x:c r="A209" s="44" t="str">
        <x:v>White Pepper EO / CO2</x:v>
      </x:c>
      <x:c r="B209" s="44" t="str">
        <x:v>target-required authentic material</x:v>
      </x:c>
      <x:c r="C209" s="46" t="n">
        <x:v>1</x:v>
      </x:c>
      <x:c r="D209" s="44" t="str">
        <x:v>Spice</x:v>
      </x:c>
      <x:c r="E209" s="44" t="str">
        <x:v>TARGET REQUIRED / INVENTORY GAP</x:v>
      </x:c>
      <x:c r="F209" s="44" t="n">
        <x:v>6</x:v>
      </x:c>
      <x:c r="G209" s="44" t="n">
        <x:v>6</x:v>
      </x:c>
      <x:c r="H209" s="44" t="str">
        <x:v>Dior, Prada, YSL</x:v>
      </x:c>
      <x:c r="I209" s="48" t="n">
        <x:v>1.133</x:v>
      </x:c>
      <x:c r="J209" s="48" t="n">
        <x:v>4.303</x:v>
      </x:c>
      <x:c r="K209" s="48" t="n">
        <x:v>8.091</x:v>
      </x:c>
      <x:c r="L209" s="48" t="n">
        <x:v>24.443</x:v>
      </x:c>
      <x:c r="M209" s="46" t="n">
        <x:v>0.001133</x:v>
      </x:c>
      <x:c r="N209" s="46" t="n">
        <x:v>0.004303</x:v>
      </x:c>
      <x:c r="O209" s="46" t="n">
        <x:v>0.024443000000000003</x:v>
      </x:c>
      <x:c r="P209" s="46" t="n">
        <x:v>0.00026059</x:v>
      </x:c>
      <x:c r="Q209" s="46" t="n">
        <x:v>0.0006454499999999999</x:v>
      </x:c>
      <x:c r="R209" s="46" t="n">
        <x:v>0.005377460000000001</x:v>
      </x:c>
      <x:c r="S209" s="46" t="n">
        <x:v>0.00026059</x:v>
      </x:c>
      <x:c r="T209" s="46" t="n">
        <x:v>0.0006454499999999999</x:v>
      </x:c>
      <x:c r="U209" s="46" t="n">
        <x:v>0.005377460000000001</x:v>
      </x:c>
      <x:c r="V209" s="44" t="n">
        <x:v>6</x:v>
      </x:c>
      <x:c r="W209" s="44" t="n">
        <x:v>0</x:v>
      </x:c>
      <x:c r="X209" s="44" t="str">
        <x:v>H13, H14, PR-L04, S02, Y07, Y09</x:v>
      </x:c>
    </x:row>
    <x:row r="210" ht="40" customHeight="1">
      <x:c r="A210" s="44" t="str">
        <x:v>Wormwood / Absinthe EO 10%</x:v>
      </x:c>
      <x:c r="B210" s="44" t="str">
        <x:v>10% target-required working dilution</x:v>
      </x:c>
      <x:c r="C210" s="46" t="n">
        <x:v>0.1</x:v>
      </x:c>
      <x:c r="D210" s="44" t="str">
        <x:v>Aromatic top</x:v>
      </x:c>
      <x:c r="E210" s="44" t="str">
        <x:v>TARGET REQUIRED / INVENTORY GAP</x:v>
      </x:c>
      <x:c r="F210" s="44" t="n">
        <x:v>1</x:v>
      </x:c>
      <x:c r="G210" s="44" t="n">
        <x:v>1</x:v>
      </x:c>
      <x:c r="H210" s="44" t="str">
        <x:v>Amouage</x:v>
      </x:c>
      <x:c r="I210" s="48" t="n">
        <x:v>60.96</x:v>
      </x:c>
      <x:c r="J210" s="48" t="n">
        <x:v>60.96</x:v>
      </x:c>
      <x:c r="K210" s="48" t="n">
        <x:v>60.96</x:v>
      </x:c>
      <x:c r="L210" s="48" t="n">
        <x:v>60.96</x:v>
      </x:c>
      <x:c r="M210" s="46" t="n">
        <x:v>0.06096</x:v>
      </x:c>
      <x:c r="N210" s="46" t="n">
        <x:v>0.06096</x:v>
      </x:c>
      <x:c r="O210" s="46" t="n">
        <x:v>0.06096</x:v>
      </x:c>
      <x:c r="P210" s="46" t="n">
        <x:v>0.014630399999999998</x:v>
      </x:c>
      <x:c r="Q210" s="46" t="n">
        <x:v>0.014630399999999998</x:v>
      </x:c>
      <x:c r="R210" s="46" t="n">
        <x:v>0.014630399999999998</x:v>
      </x:c>
      <x:c r="S210" s="46" t="n">
        <x:v>0.0014630399999999999</x:v>
      </x:c>
      <x:c r="T210" s="46" t="n">
        <x:v>0.0014630399999999999</x:v>
      </x:c>
      <x:c r="U210" s="46" t="n">
        <x:v>0.0014630399999999999</x:v>
      </x:c>
      <x:c r="V210" s="44" t="n">
        <x:v>1</x:v>
      </x:c>
      <x:c r="W210" s="44" t="n">
        <x:v>0</x:v>
      </x:c>
      <x:c r="X210" s="44" t="str">
        <x:v>AM-E08</x:v>
      </x:c>
    </x:row>
    <x:row r="211" ht="40" customHeight="1">
      <x:c r="A211" s="44" t="str">
        <x:v>Ylang-Ylang EO</x:v>
      </x:c>
      <x:c r="B211" s="44" t="str">
        <x:v>target-required authentic material</x:v>
      </x:c>
      <x:c r="C211" s="46" t="n">
        <x:v>1</x:v>
      </x:c>
      <x:c r="D211" s="44" t="str">
        <x:v>Air floral</x:v>
      </x:c>
      <x:c r="E211" s="44" t="str">
        <x:v>TARGET REQUIRED / INVENTORY GAP</x:v>
      </x:c>
      <x:c r="F211" s="44" t="n">
        <x:v>3</x:v>
      </x:c>
      <x:c r="G211" s="44" t="n">
        <x:v>3</x:v>
      </x:c>
      <x:c r="H211" s="44" t="str">
        <x:v>Amouage, Prada</x:v>
      </x:c>
      <x:c r="I211" s="48" t="n">
        <x:v>14.78</x:v>
      </x:c>
      <x:c r="J211" s="48" t="n">
        <x:v>23.075</x:v>
      </x:c>
      <x:c r="K211" s="48" t="n">
        <x:v>34.87533333333333</x:v>
      </x:c>
      <x:c r="L211" s="48" t="n">
        <x:v>66.771</x:v>
      </x:c>
      <x:c r="M211" s="46" t="n">
        <x:v>0.01478</x:v>
      </x:c>
      <x:c r="N211" s="46" t="n">
        <x:v>0.023075000000000002</x:v>
      </x:c>
      <x:c r="O211" s="46" t="n">
        <x:v>0.066771</x:v>
      </x:c>
      <x:c r="P211" s="46" t="n">
        <x:v>0.0033994000000000003</x:v>
      </x:c>
      <x:c r="Q211" s="46" t="n">
        <x:v>0.004615</x:v>
      </x:c>
      <x:c r="R211" s="46" t="n">
        <x:v>0.014689619999999999</x:v>
      </x:c>
      <x:c r="S211" s="46" t="n">
        <x:v>0.0033994000000000003</x:v>
      </x:c>
      <x:c r="T211" s="46" t="n">
        <x:v>0.004615</x:v>
      </x:c>
      <x:c r="U211" s="46" t="n">
        <x:v>0.014689619999999999</x:v>
      </x:c>
      <x:c r="V211" s="44" t="n">
        <x:v>3</x:v>
      </x:c>
      <x:c r="W211" s="44" t="n">
        <x:v>0</x:v>
      </x:c>
      <x:c r="X211" s="44" t="str">
        <x:v>AM-E05, AM-N05, PR-N14</x:v>
      </x:c>
    </x:row>
    <x:row r="212" ht="40" customHeight="1">
      <x:c r="A212" s="44" t="str">
        <x:v>Zenolide</x:v>
      </x:c>
      <x:c r="B212" s="44" t="str">
        <x:v>neat / as supplied</x:v>
      </x:c>
      <x:c r="C212" s="46" t="n">
        <x:v>1</x:v>
      </x:c>
      <x:c r="D212" s="44" t="str">
        <x:v>musk</x:v>
      </x:c>
      <x:c r="E212" s="44" t="str">
        <x:v>DIRECT</x:v>
      </x:c>
      <x:c r="F212" s="44" t="n">
        <x:v>111</x:v>
      </x:c>
      <x:c r="G212" s="44" t="n">
        <x:v>111</x:v>
      </x:c>
      <x:c r="H212" s="44" t="str">
        <x:v>Amouage, CHANEL, Dior, Kenny Originals, Prada, YSL</x:v>
      </x:c>
      <x:c r="I212" s="48" t="n">
        <x:v>0.494</x:v>
      </x:c>
      <x:c r="J212" s="48" t="n">
        <x:v>4.219</x:v>
      </x:c>
      <x:c r="K212" s="48" t="n">
        <x:v>10.474873873873873</x:v>
      </x:c>
      <x:c r="L212" s="48" t="n">
        <x:v>54.631</x:v>
      </x:c>
      <x:c r="M212" s="46" t="n">
        <x:v>0.000494</x:v>
      </x:c>
      <x:c r="N212" s="46" t="n">
        <x:v>0.0042190000000000005</x:v>
      </x:c>
      <x:c r="O212" s="46" t="n">
        <x:v>0.054631</x:v>
      </x:c>
      <x:c r="P212" s="46" t="n">
        <x:v>0.00014326</x:v>
      </x:c>
      <x:c r="Q212" s="46" t="n">
        <x:v>0.00101725</x:v>
      </x:c>
      <x:c r="R212" s="46" t="n">
        <x:v>0.008691</x:v>
      </x:c>
      <x:c r="S212" s="46" t="n">
        <x:v>0.00014326</x:v>
      </x:c>
      <x:c r="T212" s="46" t="n">
        <x:v>0.00101725</x:v>
      </x:c>
      <x:c r="U212" s="46" t="n">
        <x:v>0.008691</x:v>
      </x:c>
      <x:c r="V212" s="44" t="n">
        <x:v>0</x:v>
      </x:c>
      <x:c r="W212" s="44" t="n">
        <x:v>0</x:v>
      </x:c>
      <x:c r="X212"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PR-E03, PR-E04, PR-E06, PR-E09, PR-L02, PR-L03, PR-L05, PR-N01, PR-N02, PR-N03, PR-N04, PR-N08, PR-N09, PR-N10, PR-N11, PR-N12, PR-N13, S01, S02, S03, S04, S05, S06, S07, S08, Y01, Y02, Y03, Y04, Y05, Y06, Y07, Y08, Y09, Y10, Y11, Y12, Y13, Y14</x:v>
      </x:c>
    </x:row>
  </x:sheetData>
  <x:mergeCells>
    <x:mergeCell ref="A1:X1"/>
    <x:mergeCell ref="A2:X3"/>
  </x:mergeCells>
  <x:conditionalFormatting sqref="C6:C212">
    <x:cfRule type="expression" dxfId="0" priority="1">
      <x:formula>C6=""</x:formula>
    </x:cfRule>
  </x:conditionalFormatting>
  <x:conditionalFormatting sqref="V6:V212">
    <x:cfRule type="cellIs" dxfId="1" priority="2" operator="greaterThan">
      <x:formula>0</x:formula>
    </x:cfRule>
  </x:conditionalFormatting>
  <x:conditionalFormatting sqref="W6:W212">
    <x:cfRule type="cellIs" dxfId="2" priority="3" operator="greaterThan">
      <x:formula>0</x:formula>
    </x:cfRule>
  </x:conditionalFormatting>
  <x:conditionalFormatting sqref="F6:F212">
    <x:cfRule type="dataBar" priority="4">
      <x:dataBar>
        <x:cfvo type="min"/>
        <x:cfvo type="max"/>
        <x:color rgb="FF1F5B62"/>
      </x:dataBar>
      <x:extLst>
        <x:ext xmlns:x14="http://schemas.microsoft.com/office/spreadsheetml/2009/9/main" uri="{B025F937-C7B1-47D3-B67F-A62EFF666E3E}">
          <x14:id>{AC919139-26B1-E72B-DC6A-2271C001E367}</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AC919139-26B1-E72B-DC6A-2271C001E367}">
            <x14:dataBar gradient="1">
              <x14:cfvo type="min"/>
              <x14:cfvo type="max"/>
              <x14:fillColor rgb="FF1F5B62"/>
            </x14:dataBar>
          </x14:cfRule>
          <xm:sqref>F6:F212</xm:sqref>
        </x14:conditionalFormatting>
      </x14:conditionalFormattings>
    </x:ext>
  </x:extLst>
</x:worksheet>
</file>

<file path=xl/worksheets/sheet3.xml><?xml version="1.0" encoding="utf-8"?>
<x:worksheet xmlns:x="http://schemas.openxmlformats.org/spreadsheetml/2006/main">
  <x:sheetFormatPr defaultRowHeight="15"/>
  <x:cols>
    <x:col min="1" max="1" width="12" hidden="0" customWidth="1"/>
    <x:col min="2" max="2" width="15" hidden="0" customWidth="1"/>
    <x:col min="3" max="3" width="38" hidden="0" customWidth="1"/>
    <x:col min="4" max="4" width="14" hidden="0" customWidth="1"/>
    <x:col min="5" max="5" width="14" hidden="0" customWidth="1"/>
    <x:col min="6" max="6" width="17" hidden="0" customWidth="1"/>
    <x:col min="7" max="7" width="22" hidden="0" customWidth="1"/>
    <x:col min="8" max="8" width="13" hidden="0" customWidth="1"/>
    <x:col min="9" max="9" width="17" hidden="0" customWidth="1"/>
    <x:col min="10" max="10" width="31" hidden="0" customWidth="1"/>
    <x:col min="11" max="11" width="31" hidden="0" customWidth="1"/>
    <x:col min="12" max="12" width="40" hidden="0" customWidth="1"/>
    <x:col min="13" max="13" width="43" hidden="0" customWidth="1"/>
    <x:col min="14" max="14" width="68" hidden="0" customWidth="1"/>
  </x:cols>
  <x:sheetData>
    <x:row r="1">
      <x:c r="A1" s="4" t="str">
        <x:v>120-TARGET FORMULA SUMMARY</x:v>
      </x:c>
      <x:c r="B1" s="4"/>
      <x:c r="C1" s="4"/>
      <x:c r="D1" s="4"/>
      <x:c r="E1" s="4"/>
      <x:c r="F1" s="4"/>
      <x:c r="G1" s="4"/>
      <x:c r="H1" s="4"/>
      <x:c r="I1" s="4"/>
      <x:c r="J1" s="4"/>
      <x:c r="K1" s="4"/>
      <x:c r="L1" s="4"/>
      <x:c r="M1" s="4"/>
      <x:c r="N1" s="4"/>
    </x:row>
    <x:row r="2">
      <x:c r="A2" s="11" t="str">
        <x:v>One row per fragrance. Use the original formula book or the exact-row CSV for material-by-material dosing.</x:v>
      </x:c>
      <x:c r="B2" s="11"/>
      <x:c r="C2" s="11"/>
      <x:c r="D2" s="11"/>
      <x:c r="E2" s="11"/>
      <x:c r="F2" s="11"/>
      <x:c r="G2" s="11"/>
      <x:c r="H2" s="11"/>
      <x:c r="I2" s="11"/>
      <x:c r="J2" s="11"/>
      <x:c r="K2" s="11"/>
      <x:c r="L2" s="11"/>
      <x:c r="M2" s="11"/>
      <x:c r="N2" s="11"/>
    </x:row>
    <x:row r="3">
      <x:c r="A3" s="11"/>
      <x:c r="B3" s="11"/>
      <x:c r="C3" s="11"/>
      <x:c r="D3" s="11"/>
      <x:c r="E3" s="11"/>
      <x:c r="F3" s="11"/>
      <x:c r="G3" s="11"/>
      <x:c r="H3" s="11"/>
      <x:c r="I3" s="11"/>
      <x:c r="J3" s="11"/>
      <x:c r="K3" s="11"/>
      <x:c r="L3" s="11"/>
      <x:c r="M3" s="11"/>
      <x:c r="N3" s="11"/>
    </x:row>
    <x:row r="5">
      <x:c r="A5" s="32" t="str">
        <x:v>ID</x:v>
      </x:c>
      <x:c r="B5" s="32" t="str">
        <x:v>House</x:v>
      </x:c>
      <x:c r="C5" s="32" t="str">
        <x:v>Fragrance</x:v>
      </x:c>
      <x:c r="D5" s="32" t="str">
        <x:v>Formula concentration</x:v>
      </x:c>
      <x:c r="E5" s="32" t="str">
        <x:v>Ingredient rows</x:v>
      </x:c>
      <x:c r="F5" s="32" t="str">
        <x:v>Complexity</x:v>
      </x:c>
      <x:c r="G5" s="32" t="str">
        <x:v>Action</x:v>
      </x:c>
      <x:c r="H5" s="32" t="str">
        <x:v>Inventory gaps</x:v>
      </x:c>
      <x:c r="I5" s="32" t="str">
        <x:v>Unknown-active rows</x:v>
      </x:c>
      <x:c r="J5" s="32" t="str">
        <x:v>Formula UID</x:v>
      </x:c>
      <x:c r="K5" s="32" t="str">
        <x:v>SHA-256</x:v>
      </x:c>
      <x:c r="L5" s="32" t="str">
        <x:v>Formula state</x:v>
      </x:c>
      <x:c r="M5" s="32" t="str">
        <x:v>Empirical state</x:v>
      </x:c>
      <x:c r="N5" s="32" t="str">
        <x:v>Target profile</x:v>
      </x:c>
    </x:row>
    <x:row r="6" ht="48" customHeight="1">
      <x:c r="A6" s="44" t="str">
        <x:v>C01</x:v>
      </x:c>
      <x:c r="B6" s="44" t="str">
        <x:v>CHANEL</x:v>
      </x:c>
      <x:c r="C6" s="44" t="str">
        <x:v>Allure Homme Eau de Toilette</x:v>
      </x:c>
      <x:c r="D6" s="50" t="n">
        <x:v>0.15</x:v>
      </x:c>
      <x:c r="E6" s="44" t="n">
        <x:v>54</x:v>
      </x:c>
      <x:c r="F6" s="44" t="str">
        <x:v>COMPLEX</x:v>
      </x:c>
      <x:c r="G6" s="44" t="str">
        <x:v>BOUNDED REPAIR</x:v>
      </x:c>
      <x:c r="H6" s="44" t="n">
        <x:v>1</x:v>
      </x:c>
      <x:c r="I6" s="44" t="n">
        <x:v>0</x:v>
      </x:c>
      <x:c r="J6" s="44" t="str">
        <x:v>CB120-CHN-C01-23D7BF81D6</x:v>
      </x:c>
      <x:c r="K6" s="44" t="str">
        <x:v>23d7bf81d6227cf0098540d952817d23c39da248f6dbdd04f070526c207415ca</x:v>
      </x:c>
      <x:c r="L6" s="44" t="str">
        <x:v>COMMERCIAL-SIMILARITY COMPUTATIONAL CANDIDATE</x:v>
      </x:c>
      <x:c r="M6" s="44" t="str">
        <x:v>PENDING PHYSICAL SMELL TEST • ZERO EMPIRICAL SIMILARITY PASS</x:v>
      </x:c>
      <x:c r="N6" s="44" t="str">
        <x:v>Fresh citrus and aromatic spice over floral-woody warmth, sandalwood, tonka, vanilla and musk.</x:v>
      </x:c>
    </x:row>
    <x:row r="7" ht="48" customHeight="1">
      <x:c r="A7" s="44" t="str">
        <x:v>C02</x:v>
      </x:c>
      <x:c r="B7" s="44" t="str">
        <x:v>CHANEL</x:v>
      </x:c>
      <x:c r="C7" s="44" t="str">
        <x:v>Allure Homme Édition Blanche Eau de Parfum</x:v>
      </x:c>
      <x:c r="D7" s="50" t="n">
        <x:v>0.2</x:v>
      </x:c>
      <x:c r="E7" s="44" t="n">
        <x:v>42</x:v>
      </x:c>
      <x:c r="F7" s="44" t="str">
        <x:v>MODERATE</x:v>
      </x:c>
      <x:c r="G7" s="44" t="str">
        <x:v>BOUNDED REPAIR</x:v>
      </x:c>
      <x:c r="H7" s="44" t="n">
        <x:v>0</x:v>
      </x:c>
      <x:c r="I7" s="44" t="n">
        <x:v>0</x:v>
      </x:c>
      <x:c r="J7" s="44" t="str">
        <x:v>CB120-CHN-C02-C5EC864E2E</x:v>
      </x:c>
      <x:c r="K7" s="44" t="str">
        <x:v>c5ec864e2e7af5f00e2522930bb526348e138b49051b36d42892ab6dfde4f711</x:v>
      </x:c>
      <x:c r="L7" s="44" t="str">
        <x:v>COMMERCIAL-SIMILARITY COMPUTATIONAL CANDIDATE</x:v>
      </x:c>
      <x:c r="M7" s="44" t="str">
        <x:v>PENDING PHYSICAL SMELL TEST • ZERO EMPIRICAL SIMILARITY PASS</x:v>
      </x:c>
      <x:c r="N7" s="44" t="str">
        <x:v>Powerful lemon energy against New Caledonian sandalwood, Haitian vetiver and Madagascar vanilla.</x:v>
      </x:c>
    </x:row>
    <x:row r="8" ht="48" customHeight="1">
      <x:c r="A8" s="44" t="str">
        <x:v>C03</x:v>
      </x:c>
      <x:c r="B8" s="44" t="str">
        <x:v>CHANEL</x:v>
      </x:c>
      <x:c r="C8" s="44" t="str">
        <x:v>Allure Homme Sport Eau de Toilette</x:v>
      </x:c>
      <x:c r="D8" s="50" t="n">
        <x:v>0.15</x:v>
      </x:c>
      <x:c r="E8" s="44" t="n">
        <x:v>48</x:v>
      </x:c>
      <x:c r="F8" s="44" t="str">
        <x:v>MODERATE</x:v>
      </x:c>
      <x:c r="G8" s="44" t="str">
        <x:v>BOUNDED REPAIR</x:v>
      </x:c>
      <x:c r="H8" s="44" t="n">
        <x:v>0</x:v>
      </x:c>
      <x:c r="I8" s="44" t="n">
        <x:v>0</x:v>
      </x:c>
      <x:c r="J8" s="44" t="str">
        <x:v>CB120-CHN-C03-F34A1B350B</x:v>
      </x:c>
      <x:c r="K8" s="44" t="str">
        <x:v>f34a1b350bb22b74a7dccdedf9ac268970dcc5204a4c54c290a222f429476cfb</x:v>
      </x:c>
      <x:c r="L8" s="44" t="str">
        <x:v>COMMERCIAL-SIMILARITY COMPUTATIONAL CANDIDATE</x:v>
      </x:c>
      <x:c r="M8" s="44" t="str">
        <x:v>PENDING PHYSICAL SMELL TEST • ZERO EMPIRICAL SIMILARITY PASS</x:v>
      </x:c>
      <x:c r="N8" s="44" t="str">
        <x:v>Mandarin-citrus and aquatic freshness move through clean cedar into almondy tonka and enveloping white musk.</x:v>
      </x:c>
    </x:row>
    <x:row r="9" ht="48" customHeight="1">
      <x:c r="A9" s="44" t="str">
        <x:v>C04</x:v>
      </x:c>
      <x:c r="B9" s="44" t="str">
        <x:v>CHANEL</x:v>
      </x:c>
      <x:c r="C9" s="44" t="str">
        <x:v>Allure Homme Sport Cologne</x:v>
      </x:c>
      <x:c r="D9" s="50" t="n">
        <x:v>0.1</x:v>
      </x:c>
      <x:c r="E9" s="44" t="n">
        <x:v>38</x:v>
      </x:c>
      <x:c r="F9" s="44" t="str">
        <x:v>MODERATE</x:v>
      </x:c>
      <x:c r="G9" s="44" t="str">
        <x:v>BOUNDED REPAIR</x:v>
      </x:c>
      <x:c r="H9" s="44" t="n">
        <x:v>0</x:v>
      </x:c>
      <x:c r="I9" s="44" t="n">
        <x:v>0</x:v>
      </x:c>
      <x:c r="J9" s="44" t="str">
        <x:v>CB120-CHN-C04-786A8D0400</x:v>
      </x:c>
      <x:c r="K9" s="44" t="str">
        <x:v>786a8d04002db2d6886cff5fff9a804537c0f06c35d43f5533c0f3736b23f184</x:v>
      </x:c>
      <x:c r="L9" s="44" t="str">
        <x:v>COMMERCIAL-SIMILARITY COMPUTATIONAL CANDIDATE</x:v>
      </x:c>
      <x:c r="M9" s="44" t="str">
        <x:v>PENDING PHYSICAL SMELL TEST • ZERO EMPIRICAL SIMILARITY PASS</x:v>
      </x:c>
      <x:c r="N9" s="44" t="str">
        <x:v>A transparent citrus, aldehydic and aquatic interpretation with lean cedar and white musk.</x:v>
      </x:c>
    </x:row>
    <x:row r="10" ht="48" customHeight="1">
      <x:c r="A10" s="44" t="str">
        <x:v>C05</x:v>
      </x:c>
      <x:c r="B10" s="44" t="str">
        <x:v>CHANEL</x:v>
      </x:c>
      <x:c r="C10" s="44" t="str">
        <x:v>Allure Homme Sport Eau Extrême</x:v>
      </x:c>
      <x:c r="D10" s="50" t="n">
        <x:v>0.2</x:v>
      </x:c>
      <x:c r="E10" s="44" t="n">
        <x:v>43</x:v>
      </x:c>
      <x:c r="F10" s="44" t="str">
        <x:v>MODERATE</x:v>
      </x:c>
      <x:c r="G10" s="44" t="str">
        <x:v>CLEAN REBUILD</x:v>
      </x:c>
      <x:c r="H10" s="44" t="n">
        <x:v>2</x:v>
      </x:c>
      <x:c r="I10" s="44" t="n">
        <x:v>0</x:v>
      </x:c>
      <x:c r="J10" s="44" t="str">
        <x:v>CB120-CHN-C05-BF4B4620C6</x:v>
      </x:c>
      <x:c r="K10" s="44" t="str">
        <x:v>bf4b4620c64fb86f38c76eb35e1672baf95155298c02270fbac94e13ddc3c980</x:v>
      </x:c>
      <x:c r="L10" s="44" t="str">
        <x:v>COMMERCIAL-SIMILARITY COMPUTATIONAL CANDIDATE</x:v>
      </x:c>
      <x:c r="M10" s="44" t="str">
        <x:v>PENDING PHYSICAL SMELL TEST • ZERO EMPIRICAL SIMILARITY PASS</x:v>
      </x:c>
      <x:c r="N10" s="44" t="str">
        <x:v>Mandarin and cool aromatics meet peppery cypress, creamy sandalwood, almond-tonka and white musks.</x:v>
      </x:c>
    </x:row>
    <x:row r="11" ht="48" customHeight="1">
      <x:c r="A11" s="44" t="str">
        <x:v>C06</x:v>
      </x:c>
      <x:c r="B11" s="44" t="str">
        <x:v>CHANEL</x:v>
      </x:c>
      <x:c r="C11" s="44" t="str">
        <x:v>Allure Homme Sport Superleggera Eau de Parfum</x:v>
      </x:c>
      <x:c r="D11" s="50" t="n">
        <x:v>0.2</x:v>
      </x:c>
      <x:c r="E11" s="44" t="n">
        <x:v>44</x:v>
      </x:c>
      <x:c r="F11" s="44" t="str">
        <x:v>MODERATE</x:v>
      </x:c>
      <x:c r="G11" s="44" t="str">
        <x:v>BOUNDED REPAIR</x:v>
      </x:c>
      <x:c r="H11" s="44" t="n">
        <x:v>0</x:v>
      </x:c>
      <x:c r="I11" s="44" t="n">
        <x:v>0</x:v>
      </x:c>
      <x:c r="J11" s="44" t="str">
        <x:v>CB120-CHN-C06-FB5E31787A</x:v>
      </x:c>
      <x:c r="K11" s="44" t="str">
        <x:v>fb5e31787a28f6759743354373c0173187aa4dec39ba378cdf4ab8b5517e51ed</x:v>
      </x:c>
      <x:c r="L11" s="44" t="str">
        <x:v>COMMERCIAL-SIMILARITY COMPUTATIONAL CANDIDATE</x:v>
      </x:c>
      <x:c r="M11" s="44" t="str">
        <x:v>PENDING PHYSICAL SMELL TEST • ZERO EMPIRICAL SIMILARITY PASS</x:v>
      </x:c>
      <x:c r="N11" s="44" t="str">
        <x:v>Top: lively fruity grapefruit freshness. Heart/base: fresh woody Allure Homme Sport signature elevated by powerful musks and a strong warm amber facet.</x:v>
      </x:c>
    </x:row>
    <x:row r="12" ht="48" customHeight="1">
      <x:c r="A12" s="44" t="str">
        <x:v>C07</x:v>
      </x:c>
      <x:c r="B12" s="44" t="str">
        <x:v>CHANEL</x:v>
      </x:c>
      <x:c r="C12" s="44" t="str">
        <x:v>Bleu de Chanel Parfum</x:v>
      </x:c>
      <x:c r="D12" s="50" t="n">
        <x:v>0.25</x:v>
      </x:c>
      <x:c r="E12" s="44" t="n">
        <x:v>71</x:v>
      </x:c>
      <x:c r="F12" s="44" t="str">
        <x:v>VERY COMPLEX</x:v>
      </x:c>
      <x:c r="G12" s="44" t="str">
        <x:v>BOUNDED REPAIR</x:v>
      </x:c>
      <x:c r="H12" s="44" t="n">
        <x:v>0</x:v>
      </x:c>
      <x:c r="I12" s="44" t="n">
        <x:v>0</x:v>
      </x:c>
      <x:c r="J12" s="44" t="str">
        <x:v>CB120-CHN-C07-259085496D</x:v>
      </x:c>
      <x:c r="K12" s="44" t="str">
        <x:v>259085496dcf7c148b0651976e96393afa3e3c6dd297125b6199d711a8400a81</x:v>
      </x:c>
      <x:c r="L12" s="44" t="str">
        <x:v>COMMERCIAL-SIMILARITY COMPUTATIONAL CANDIDATE</x:v>
      </x:c>
      <x:c r="M12" s="44" t="str">
        <x:v>PENDING PHYSICAL SMELL TEST • ZERO EMPIRICAL SIMILARITY PASS</x:v>
      </x:c>
      <x:c r="N12" s="44" t="str">
        <x:v>Opening: powerful bitter freshness. Heart: aromatic, intensely woody body with incense-like air. Base: dense New Caledonian sandalwood, polished cedar-amber woods and musk.</x:v>
      </x:c>
    </x:row>
    <x:row r="13" ht="48" customHeight="1">
      <x:c r="A13" s="44" t="str">
        <x:v>C08</x:v>
      </x:c>
      <x:c r="B13" s="44" t="str">
        <x:v>CHANEL</x:v>
      </x:c>
      <x:c r="C13" s="44" t="str">
        <x:v>Bleu de Chanel L’Exclusif</x:v>
      </x:c>
      <x:c r="D13" s="50" t="n">
        <x:v>0.3</x:v>
      </x:c>
      <x:c r="E13" s="44" t="n">
        <x:v>65</x:v>
      </x:c>
      <x:c r="F13" s="44" t="str">
        <x:v>COMPLEX</x:v>
      </x:c>
      <x:c r="G13" s="44" t="str">
        <x:v>BOUNDED REPAIR</x:v>
      </x:c>
      <x:c r="H13" s="44" t="n">
        <x:v>0</x:v>
      </x:c>
      <x:c r="I13" s="44" t="n">
        <x:v>2</x:v>
      </x:c>
      <x:c r="J13" s="44" t="str">
        <x:v>CB120-CHN-C08-E62B62A16F</x:v>
      </x:c>
      <x:c r="K13" s="44" t="str">
        <x:v>e62b62a16f36c9723793770817a28bd2c147ab2d8b5661a40cec3429fe3286ce</x:v>
      </x:c>
      <x:c r="L13" s="44" t="str">
        <x:v>COMMERCIAL-SIMILARITY COMPUTATIONAL CANDIDATE</x:v>
      </x:c>
      <x:c r="M13" s="44" t="str">
        <x:v>PENDING PHYSICAL SMELL TEST • ZERO EMPIRICAL SIMILARITY PASS</x:v>
      </x:c>
      <x:c r="N13" s="44" t="str">
        <x:v>Opening/heart: controlled aromatic glow. Base: majestic sandalwood and accentuated woods, leathery-resinous cistus labdanum, warm amber and vibrant woody-amber intensity; designed as an Extrait de Parfum.</x:v>
      </x:c>
    </x:row>
    <x:row r="14" ht="48" customHeight="1">
      <x:c r="A14" s="44" t="str">
        <x:v>Y01</x:v>
      </x:c>
      <x:c r="B14" s="44" t="str">
        <x:v>YSL</x:v>
      </x:c>
      <x:c r="C14" s="44" t="str">
        <x:v>L’Homme Eau de Toilette</x:v>
      </x:c>
      <x:c r="D14" s="50" t="n">
        <x:v>0.15</x:v>
      </x:c>
      <x:c r="E14" s="44" t="n">
        <x:v>64</x:v>
      </x:c>
      <x:c r="F14" s="44" t="str">
        <x:v>COMPLEX</x:v>
      </x:c>
      <x:c r="G14" s="44" t="str">
        <x:v>BOUNDED REPAIR</x:v>
      </x:c>
      <x:c r="H14" s="44" t="n">
        <x:v>0</x:v>
      </x:c>
      <x:c r="I14" s="44" t="n">
        <x:v>0</x:v>
      </x:c>
      <x:c r="J14" s="44" t="str">
        <x:v>CB120-YSL-Y01-1FEA9467B8</x:v>
      </x:c>
      <x:c r="K14" s="44" t="str">
        <x:v>1fea9467b831d11d63c6f682d14c104bd753cfd5545ce452ff2ffae45329edf3</x:v>
      </x:c>
      <x:c r="L14" s="44" t="str">
        <x:v>COMMERCIAL-SIMILARITY COMPUTATIONAL CANDIDATE</x:v>
      </x:c>
      <x:c r="M14" s="44" t="str">
        <x:v>PENDING PHYSICAL SMELL TEST • ZERO EMPIRICAL SIMILARITY PASS</x:v>
      </x:c>
      <x:c r="N14" s="44" t="str">
        <x:v>Bergamot and white-pepper freshness lead into ginger, violet leaf and basil-flower, then vetiver, tonka and cedar.</x:v>
      </x:c>
    </x:row>
    <x:row r="15" ht="48" customHeight="1">
      <x:c r="A15" s="44" t="str">
        <x:v>Y02</x:v>
      </x:c>
      <x:c r="B15" s="44" t="str">
        <x:v>YSL</x:v>
      </x:c>
      <x:c r="C15" s="44" t="str">
        <x:v>L’Homme Le Parfum</x:v>
      </x:c>
      <x:c r="D15" s="50" t="n">
        <x:v>0.22</x:v>
      </x:c>
      <x:c r="E15" s="44" t="n">
        <x:v>44</x:v>
      </x:c>
      <x:c r="F15" s="44" t="str">
        <x:v>MODERATE</x:v>
      </x:c>
      <x:c r="G15" s="44" t="str">
        <x:v>BOUNDED REPAIR</x:v>
      </x:c>
      <x:c r="H15" s="44" t="n">
        <x:v>0</x:v>
      </x:c>
      <x:c r="I15" s="44" t="n">
        <x:v>0</x:v>
      </x:c>
      <x:c r="J15" s="44" t="str">
        <x:v>CB120-YSL-Y02-FD174D335E</x:v>
      </x:c>
      <x:c r="K15" s="44" t="str">
        <x:v>fd174d335e93a799959bf780306cedfbfeae8279c4c6a24e287acd593fd0b83f</x:v>
      </x:c>
      <x:c r="L15" s="44" t="str">
        <x:v>COMMERCIAL-SIMILARITY COMPUTATIONAL CANDIDATE</x:v>
      </x:c>
      <x:c r="M15" s="44" t="str">
        <x:v>PENDING PHYSICAL SMELL TEST • ZERO EMPIRICAL SIMILARITY PASS</x:v>
      </x:c>
      <x:c r="N15" s="44" t="str">
        <x:v>A fresh fruity opening develops into precious ambery woods and strongly faceted cedar.</x:v>
      </x:c>
    </x:row>
    <x:row r="16" ht="48" customHeight="1">
      <x:c r="A16" s="44" t="str">
        <x:v>Y03</x:v>
      </x:c>
      <x:c r="B16" s="44" t="str">
        <x:v>YSL</x:v>
      </x:c>
      <x:c r="C16" s="44" t="str">
        <x:v>L’Homme Eau de Parfum</x:v>
      </x:c>
      <x:c r="D16" s="50" t="n">
        <x:v>0.2</x:v>
      </x:c>
      <x:c r="E16" s="44" t="n">
        <x:v>50</x:v>
      </x:c>
      <x:c r="F16" s="44" t="str">
        <x:v>COMPLEX</x:v>
      </x:c>
      <x:c r="G16" s="44" t="str">
        <x:v>CLEAN REBUILD</x:v>
      </x:c>
      <x:c r="H16" s="44" t="n">
        <x:v>2</x:v>
      </x:c>
      <x:c r="I16" s="44" t="n">
        <x:v>0</x:v>
      </x:c>
      <x:c r="J16" s="44" t="str">
        <x:v>CB120-YSL-Y03-904DD3B0F5</x:v>
      </x:c>
      <x:c r="K16" s="44" t="str">
        <x:v>904dd3b0f57de6ec3abb17d8c38709d88f8b6be4f2b3c14263d96f3890a4ae87</x:v>
      </x:c>
      <x:c r="L16" s="44" t="str">
        <x:v>COMMERCIAL-SIMILARITY COMPUTATIONAL CANDIDATE</x:v>
      </x:c>
      <x:c r="M16" s="44" t="str">
        <x:v>PENDING PHYSICAL SMELL TEST • ZERO EMPIRICAL SIMILARITY PASS</x:v>
      </x:c>
      <x:c r="N16" s="44" t="str">
        <x:v>A liqueur-like woody L’Homme interpretation with orange blossom, bitter-aromatic sweetness and dense woods.</x:v>
      </x:c>
    </x:row>
    <x:row r="17" ht="48" customHeight="1">
      <x:c r="A17" s="44" t="str">
        <x:v>Y04</x:v>
      </x:c>
      <x:c r="B17" s="44" t="str">
        <x:v>YSL</x:v>
      </x:c>
      <x:c r="C17" s="44" t="str">
        <x:v>L’Homme Parfum Intense</x:v>
      </x:c>
      <x:c r="D17" s="50" t="n">
        <x:v>0.22</x:v>
      </x:c>
      <x:c r="E17" s="44" t="n">
        <x:v>50</x:v>
      </x:c>
      <x:c r="F17" s="44" t="str">
        <x:v>COMPLEX</x:v>
      </x:c>
      <x:c r="G17" s="44" t="str">
        <x:v>BOUNDED REPAIR</x:v>
      </x:c>
      <x:c r="H17" s="44" t="n">
        <x:v>1</x:v>
      </x:c>
      <x:c r="I17" s="44" t="n">
        <x:v>0</x:v>
      </x:c>
      <x:c r="J17" s="44" t="str">
        <x:v>CB120-YSL-Y04-7598D52D0A</x:v>
      </x:c>
      <x:c r="K17" s="44" t="str">
        <x:v>7598d52d0a4d9516e5b44e61d6a3987dc459f3690be545b71e6d2e7c308584e1</x:v>
      </x:c>
      <x:c r="L17" s="44" t="str">
        <x:v>COMMERCIAL-SIMILARITY COMPUTATIONAL CANDIDATE</x:v>
      </x:c>
      <x:c r="M17" s="44" t="str">
        <x:v>PENDING PHYSICAL SMELL TEST • ZERO EMPIRICAL SIMILARITY PASS</x:v>
      </x:c>
      <x:c r="N17" s="44" t="str">
        <x:v>Orange blossom and suede are amplified over ambery woods while preserving L’Homme’s spice-violet trace.</x:v>
      </x:c>
    </x:row>
    <x:row r="18" ht="48" customHeight="1">
      <x:c r="A18" s="44" t="str">
        <x:v>Y05</x:v>
      </x:c>
      <x:c r="B18" s="44" t="str">
        <x:v>YSL</x:v>
      </x:c>
      <x:c r="C18" s="44" t="str">
        <x:v>L’Homme Cologne Bleue</x:v>
      </x:c>
      <x:c r="D18" s="50" t="n">
        <x:v>0.12</x:v>
      </x:c>
      <x:c r="E18" s="44" t="n">
        <x:v>44</x:v>
      </x:c>
      <x:c r="F18" s="44" t="str">
        <x:v>MODERATE</x:v>
      </x:c>
      <x:c r="G18" s="44" t="str">
        <x:v>BOUNDED REPAIR</x:v>
      </x:c>
      <x:c r="H18" s="44" t="n">
        <x:v>0</x:v>
      </x:c>
      <x:c r="I18" s="44" t="n">
        <x:v>0</x:v>
      </x:c>
      <x:c r="J18" s="44" t="str">
        <x:v>CB120-YSL-Y05-6761627FEF</x:v>
      </x:c>
      <x:c r="K18" s="44" t="str">
        <x:v>6761627fef90c71edc6ae847bf62c2c010657c3ac3cde5988f02ed8672db376b</x:v>
      </x:c>
      <x:c r="L18" s="44" t="str">
        <x:v>COMMERCIAL-SIMILARITY COMPUTATIONAL CANDIDATE</x:v>
      </x:c>
      <x:c r="M18" s="44" t="str">
        <x:v>PENDING PHYSICAL SMELL TEST • ZERO EMPIRICAL SIMILARITY PASS</x:v>
      </x:c>
      <x:c r="N18" s="44" t="str">
        <x:v>Grapefruit, blood orange and marine freshness retain cardamom-aromatic woods and clean musk.</x:v>
      </x:c>
    </x:row>
    <x:row r="19" ht="48" customHeight="1">
      <x:c r="A19" s="44" t="str">
        <x:v>Y06</x:v>
      </x:c>
      <x:c r="B19" s="44" t="str">
        <x:v>YSL</x:v>
      </x:c>
      <x:c r="C19" s="44" t="str">
        <x:v>L’Homme Ultime</x:v>
      </x:c>
      <x:c r="D19" s="50" t="n">
        <x:v>0.18</x:v>
      </x:c>
      <x:c r="E19" s="44" t="n">
        <x:v>50</x:v>
      </x:c>
      <x:c r="F19" s="44" t="str">
        <x:v>COMPLEX</x:v>
      </x:c>
      <x:c r="G19" s="44" t="str">
        <x:v>BOUNDED REPAIR</x:v>
      </x:c>
      <x:c r="H19" s="44" t="n">
        <x:v>1</x:v>
      </x:c>
      <x:c r="I19" s="44" t="n">
        <x:v>0</x:v>
      </x:c>
      <x:c r="J19" s="44" t="str">
        <x:v>CB120-YSL-Y06-BB7CDEEAEE</x:v>
      </x:c>
      <x:c r="K19" s="44" t="str">
        <x:v>bb7cdeeaee30665c20b64a977d30b159784a2a94095afcb97238defb51a4f65b</x:v>
      </x:c>
      <x:c r="L19" s="44" t="str">
        <x:v>COMMERCIAL-SIMILARITY COMPUTATIONAL CANDIDATE</x:v>
      </x:c>
      <x:c r="M19" s="44" t="str">
        <x:v>PENDING PHYSICAL SMELL TEST • ZERO EMPIRICAL SIMILARITY PASS</x:v>
      </x:c>
      <x:c r="N19" s="44" t="str">
        <x:v>Ginger-citrus and cardamom frame a rose-geranium heart over dry cedar and vetiver.</x:v>
      </x:c>
    </x:row>
    <x:row r="20" ht="48" customHeight="1">
      <x:c r="A20" s="44" t="str">
        <x:v>Y07</x:v>
      </x:c>
      <x:c r="B20" s="44" t="str">
        <x:v>YSL</x:v>
      </x:c>
      <x:c r="C20" s="44" t="str">
        <x:v>L’Homme Libre</x:v>
      </x:c>
      <x:c r="D20" s="50" t="n">
        <x:v>0.15</x:v>
      </x:c>
      <x:c r="E20" s="44" t="n">
        <x:v>50</x:v>
      </x:c>
      <x:c r="F20" s="44" t="str">
        <x:v>COMPLEX</x:v>
      </x:c>
      <x:c r="G20" s="44" t="str">
        <x:v>BOUNDED REPAIR</x:v>
      </x:c>
      <x:c r="H20" s="44" t="n">
        <x:v>1</x:v>
      </x:c>
      <x:c r="I20" s="44" t="n">
        <x:v>0</x:v>
      </x:c>
      <x:c r="J20" s="44" t="str">
        <x:v>CB120-YSL-Y07-879AFBB1DE</x:v>
      </x:c>
      <x:c r="K20" s="44" t="str">
        <x:v>879afbb1deadaa8b9e68407f150a86da7833fd10b0b2a9bba3cc51d13df06270</x:v>
      </x:c>
      <x:c r="L20" s="44" t="str">
        <x:v>COMMERCIAL-SIMILARITY COMPUTATIONAL CANDIDATE</x:v>
      </x:c>
      <x:c r="M20" s="44" t="str">
        <x:v>PENDING PHYSICAL SMELL TEST • ZERO EMPIRICAL SIMILARITY PASS</x:v>
      </x:c>
      <x:c r="N20" s="44" t="str">
        <x:v>Violet leaf, basil and star-anise effects with bergamot and pepper over vetiver, patchouli and leather.</x:v>
      </x:c>
    </x:row>
    <x:row r="21" ht="48" customHeight="1">
      <x:c r="A21" s="44" t="str">
        <x:v>Y08</x:v>
      </x:c>
      <x:c r="B21" s="44" t="str">
        <x:v>YSL</x:v>
      </x:c>
      <x:c r="C21" s="44" t="str">
        <x:v>La Nuit de L’Homme Eau de Toilette</x:v>
      </x:c>
      <x:c r="D21" s="50" t="n">
        <x:v>0.15</x:v>
      </x:c>
      <x:c r="E21" s="44" t="n">
        <x:v>62</x:v>
      </x:c>
      <x:c r="F21" s="44" t="str">
        <x:v>COMPLEX</x:v>
      </x:c>
      <x:c r="G21" s="44" t="str">
        <x:v>BOUNDED REPAIR</x:v>
      </x:c>
      <x:c r="H21" s="44" t="n">
        <x:v>0</x:v>
      </x:c>
      <x:c r="I21" s="44" t="n">
        <x:v>0</x:v>
      </x:c>
      <x:c r="J21" s="44" t="str">
        <x:v>CB120-YSL-Y08-00E9AA5C19</x:v>
      </x:c>
      <x:c r="K21" s="44" t="str">
        <x:v>00e9aa5c19e88e6358be0a35294e2d563abb6e38b3e0725e2c8121833ce168cb</x:v>
      </x:c>
      <x:c r="L21" s="44" t="str">
        <x:v>COMMERCIAL-SIMILARITY COMPUTATIONAL CANDIDATE</x:v>
      </x:c>
      <x:c r="M21" s="44" t="str">
        <x:v>PENDING PHYSICAL SMELL TEST • ZERO EMPIRICAL SIMILARITY PASS</x:v>
      </x:c>
      <x:c r="N21" s="44" t="str">
        <x:v>Spicy bergamot and cardamom lead into cedar-lavender, tonka and vetiver.</x:v>
      </x:c>
    </x:row>
    <x:row r="22" ht="48" customHeight="1">
      <x:c r="A22" s="44" t="str">
        <x:v>Y09</x:v>
      </x:c>
      <x:c r="B22" s="44" t="str">
        <x:v>YSL</x:v>
      </x:c>
      <x:c r="C22" s="44" t="str">
        <x:v>La Nuit de L’Homme Le Parfum</x:v>
      </x:c>
      <x:c r="D22" s="50" t="n">
        <x:v>0.22</x:v>
      </x:c>
      <x:c r="E22" s="44" t="n">
        <x:v>50</x:v>
      </x:c>
      <x:c r="F22" s="44" t="str">
        <x:v>COMPLEX</x:v>
      </x:c>
      <x:c r="G22" s="44" t="str">
        <x:v>BOUNDED REPAIR</x:v>
      </x:c>
      <x:c r="H22" s="44" t="n">
        <x:v>1</x:v>
      </x:c>
      <x:c r="I22" s="44" t="n">
        <x:v>2</x:v>
      </x:c>
      <x:c r="J22" s="44" t="str">
        <x:v>CB120-YSL-Y09-E14869FFAB</x:v>
      </x:c>
      <x:c r="K22" s="44" t="str">
        <x:v>e14869ffab11709a7e620467cb5b58e4bdf42f567e5438961f2c9e37d5fa1667</x:v>
      </x:c>
      <x:c r="L22" s="44" t="str">
        <x:v>COMMERCIAL-SIMILARITY COMPUTATIONAL CANDIDATE</x:v>
      </x:c>
      <x:c r="M22" s="44" t="str">
        <x:v>PENDING PHYSICAL SMELL TEST • ZERO EMPIRICAL SIMILARITY PASS</x:v>
      </x:c>
      <x:c r="N22" s="44" t="str">
        <x:v>Black pepper, labdanum and vetiver form a darker resinous, leathery La Nuit interpretation.</x:v>
      </x:c>
    </x:row>
    <x:row r="23" ht="48" customHeight="1">
      <x:c r="A23" s="44" t="str">
        <x:v>Y10</x:v>
      </x:c>
      <x:c r="B23" s="44" t="str">
        <x:v>YSL</x:v>
      </x:c>
      <x:c r="C23" s="44" t="str">
        <x:v>La Nuit de L’Homme Eau de Parfum</x:v>
      </x:c>
      <x:c r="D23" s="50" t="n">
        <x:v>0.22</x:v>
      </x:c>
      <x:c r="E23" s="44" t="n">
        <x:v>49</x:v>
      </x:c>
      <x:c r="F23" s="44" t="str">
        <x:v>MODERATE</x:v>
      </x:c>
      <x:c r="G23" s="44" t="str">
        <x:v>BOUNDED REPAIR</x:v>
      </x:c>
      <x:c r="H23" s="44" t="n">
        <x:v>2</x:v>
      </x:c>
      <x:c r="I23" s="44" t="n">
        <x:v>0</x:v>
      </x:c>
      <x:c r="J23" s="44" t="str">
        <x:v>CB120-YSL-Y10-4A5ED53142</x:v>
      </x:c>
      <x:c r="K23" s="44" t="str">
        <x:v>4a5ed53142bc0a8126ead2541b99af9079d63bdd6ea1370386907b1917ef75fb</x:v>
      </x:c>
      <x:c r="L23" s="44" t="str">
        <x:v>COMMERCIAL-SIMILARITY COMPUTATIONAL CANDIDATE</x:v>
      </x:c>
      <x:c r="M23" s="44" t="str">
        <x:v>PENDING PHYSICAL SMELL TEST • ZERO EMPIRICAL SIMILARITY PASS</x:v>
      </x:c>
      <x:c r="N23" s="44" t="str">
        <x:v>Bergamot and red-apple brightness ignite red-pepper spice and modern tobacco over a warm amber base.</x:v>
      </x:c>
    </x:row>
    <x:row r="24" ht="48" customHeight="1">
      <x:c r="A24" s="44" t="str">
        <x:v>Y11</x:v>
      </x:c>
      <x:c r="B24" s="44" t="str">
        <x:v>YSL</x:v>
      </x:c>
      <x:c r="C24" s="44" t="str">
        <x:v>La Nuit de L’Homme L’Intense</x:v>
      </x:c>
      <x:c r="D24" s="50" t="n">
        <x:v>0.2</x:v>
      </x:c>
      <x:c r="E24" s="44" t="n">
        <x:v>50</x:v>
      </x:c>
      <x:c r="F24" s="44" t="str">
        <x:v>COMPLEX</x:v>
      </x:c>
      <x:c r="G24" s="44" t="str">
        <x:v>BOUNDED REPAIR</x:v>
      </x:c>
      <x:c r="H24" s="44" t="n">
        <x:v>0</x:v>
      </x:c>
      <x:c r="I24" s="44" t="n">
        <x:v>2</x:v>
      </x:c>
      <x:c r="J24" s="44" t="str">
        <x:v>CB120-YSL-Y11-B6A311621C</x:v>
      </x:c>
      <x:c r="K24" s="44" t="str">
        <x:v>b6a311621c2d0567011f15f39be6ffba5ec5bc666409d9bfeab25a73f0299dbf</x:v>
      </x:c>
      <x:c r="L24" s="44" t="str">
        <x:v>COMMERCIAL-SIMILARITY COMPUTATIONAL CANDIDATE</x:v>
      </x:c>
      <x:c r="M24" s="44" t="str">
        <x:v>PENDING PHYSICAL SMELL TEST • ZERO EMPIRICAL SIMILARITY PASS</x:v>
      </x:c>
      <x:c r="N24" s="44" t="str">
        <x:v>A violet-iris and vanilla-benzoin night structure replaces much of the parent’s cardamom brightness.</x:v>
      </x:c>
    </x:row>
    <x:row r="25" ht="48" customHeight="1">
      <x:c r="A25" s="44" t="str">
        <x:v>Y12</x:v>
      </x:c>
      <x:c r="B25" s="44" t="str">
        <x:v>YSL</x:v>
      </x:c>
      <x:c r="C25" s="44" t="str">
        <x:v>La Nuit de L’Homme Bleu Électrique</x:v>
      </x:c>
      <x:c r="D25" s="50" t="n">
        <x:v>0.18</x:v>
      </x:c>
      <x:c r="E25" s="44" t="n">
        <x:v>49</x:v>
      </x:c>
      <x:c r="F25" s="44" t="str">
        <x:v>MODERATE</x:v>
      </x:c>
      <x:c r="G25" s="44" t="str">
        <x:v>BOUNDED REPAIR</x:v>
      </x:c>
      <x:c r="H25" s="44" t="n">
        <x:v>0</x:v>
      </x:c>
      <x:c r="I25" s="44" t="n">
        <x:v>1</x:v>
      </x:c>
      <x:c r="J25" s="44" t="str">
        <x:v>CB120-YSL-Y12-55A6678C9D</x:v>
      </x:c>
      <x:c r="K25" s="44" t="str">
        <x:v>55a6678c9d778d5cece06f07ddd2b119f54f158788cb1437073a00948a5716ba</x:v>
      </x:c>
      <x:c r="L25" s="44" t="str">
        <x:v>COMMERCIAL-SIMILARITY COMPUTATIONAL CANDIDATE</x:v>
      </x:c>
      <x:c r="M25" s="44" t="str">
        <x:v>PENDING PHYSICAL SMELL TEST • ZERO EMPIRICAL SIMILARITY PASS</x:v>
      </x:c>
      <x:c r="N25" s="44" t="str">
        <x:v>Bergamot, cardamom and electric lavender sharpen the parent over cool cedar and vetiver.</x:v>
      </x:c>
    </x:row>
    <x:row r="26" ht="48" customHeight="1">
      <x:c r="A26" s="44" t="str">
        <x:v>Y13</x:v>
      </x:c>
      <x:c r="B26" s="44" t="str">
        <x:v>YSL</x:v>
      </x:c>
      <x:c r="C26" s="44" t="str">
        <x:v>La Nuit de L’Homme Eau Électrique</x:v>
      </x:c>
      <x:c r="D26" s="50" t="n">
        <x:v>0.18</x:v>
      </x:c>
      <x:c r="E26" s="44" t="n">
        <x:v>48</x:v>
      </x:c>
      <x:c r="F26" s="44" t="str">
        <x:v>MODERATE</x:v>
      </x:c>
      <x:c r="G26" s="44" t="str">
        <x:v>BOUNDED REPAIR</x:v>
      </x:c>
      <x:c r="H26" s="44" t="n">
        <x:v>1</x:v>
      </x:c>
      <x:c r="I26" s="44" t="n">
        <x:v>0</x:v>
      </x:c>
      <x:c r="J26" s="44" t="str">
        <x:v>CB120-YSL-Y13-297A877536</x:v>
      </x:c>
      <x:c r="K26" s="44" t="str">
        <x:v>297a8775369e6101c99dd18ca20748d327dd1584cc940e820a4813c29350fb17</x:v>
      </x:c>
      <x:c r="L26" s="44" t="str">
        <x:v>COMMERCIAL-SIMILARITY COMPUTATIONAL CANDIDATE</x:v>
      </x:c>
      <x:c r="M26" s="44" t="str">
        <x:v>PENDING PHYSICAL SMELL TEST • ZERO EMPIRICAL SIMILARITY PASS</x:v>
      </x:c>
      <x:c r="N26" s="44" t="str">
        <x:v>Green apple freshness and cardamom-lavender move into vanilla amber woods.</x:v>
      </x:c>
    </x:row>
    <x:row r="27" ht="48" customHeight="1">
      <x:c r="A27" s="44" t="str">
        <x:v>Y14</x:v>
      </x:c>
      <x:c r="B27" s="44" t="str">
        <x:v>YSL</x:v>
      </x:c>
      <x:c r="C27" s="44" t="str">
        <x:v>La Nuit de L’Homme Frozen Cologne</x:v>
      </x:c>
      <x:c r="D27" s="50" t="n">
        <x:v>0.12</x:v>
      </x:c>
      <x:c r="E27" s="44" t="n">
        <x:v>44</x:v>
      </x:c>
      <x:c r="F27" s="44" t="str">
        <x:v>MODERATE</x:v>
      </x:c>
      <x:c r="G27" s="44" t="str">
        <x:v>BOUNDED REPAIR</x:v>
      </x:c>
      <x:c r="H27" s="44" t="n">
        <x:v>0</x:v>
      </x:c>
      <x:c r="I27" s="44" t="n">
        <x:v>0</x:v>
      </x:c>
      <x:c r="J27" s="44" t="str">
        <x:v>CB120-YSL-Y14-7641BDAAF0</x:v>
      </x:c>
      <x:c r="K27" s="44" t="str">
        <x:v>7641bdaaf0b64a9d63b42c993289bae21af48cabe19cb2f42f6b050f1fac3030</x:v>
      </x:c>
      <x:c r="L27" s="44" t="str">
        <x:v>COMMERCIAL-SIMILARITY COMPUTATIONAL CANDIDATE</x:v>
      </x:c>
      <x:c r="M27" s="44" t="str">
        <x:v>PENDING PHYSICAL SMELL TEST • ZERO EMPIRICAL SIMILARITY PASS</x:v>
      </x:c>
      <x:c r="N27" s="44" t="str">
        <x:v>Lemon, bergamot and mandarin-like brightness meet pepper and geranium over cashmere wood, tonka, vetiver and cedar.</x:v>
      </x:c>
    </x:row>
    <x:row r="28" ht="48" customHeight="1">
      <x:c r="A28" s="44" t="str">
        <x:v>O01</x:v>
      </x:c>
      <x:c r="B28" s="44" t="str">
        <x:v>Kenny Originals</x:v>
      </x:c>
      <x:c r="C28" s="44" t="str">
        <x:v>Coriander Orris No. 1</x:v>
      </x:c>
      <x:c r="D28" s="50" t="n">
        <x:v>0.2</x:v>
      </x:c>
      <x:c r="E28" s="44" t="n">
        <x:v>48</x:v>
      </x:c>
      <x:c r="F28" s="44" t="str">
        <x:v>MODERATE</x:v>
      </x:c>
      <x:c r="G28" s="44" t="str">
        <x:v>DESIGN-BRIEF REPAIR</x:v>
      </x:c>
      <x:c r="H28" s="44" t="n">
        <x:v>0</x:v>
      </x:c>
      <x:c r="I28" s="44" t="n">
        <x:v>1</x:v>
      </x:c>
      <x:c r="J28" s="44" t="str">
        <x:v>CB120-KEN-O01-0ECEBC8FD5</x:v>
      </x:c>
      <x:c r="K28" s="44" t="str">
        <x:v>0ecebc8fd54058b7ec87538c6224c0c49f31a287a952052cef62ef3fb04f3c95</x:v>
      </x:c>
      <x:c r="L28" s="44" t="str">
        <x:v>DESIGN-BRIEF COMPUTATIONAL CANDIDATE</x:v>
      </x:c>
      <x:c r="M28" s="44" t="str">
        <x:v>PHYSICAL SMELL TEST PENDING • COMMERCIAL SIMILARITY N/A</x:v>
      </x:c>
      <x:c r="N28" s="44" t="str">
        <x:v>Crystalline coriander and bergamot illuminate wet orris root, cedar, vetiver and radiant skin musk.</x:v>
      </x:c>
    </x:row>
    <x:row r="29" ht="48" customHeight="1">
      <x:c r="A29" s="44" t="str">
        <x:v>O02</x:v>
      </x:c>
      <x:c r="B29" s="44" t="str">
        <x:v>Kenny Originals</x:v>
      </x:c>
      <x:c r="C29" s="44" t="str">
        <x:v>Magnolia Violet Suede</x:v>
      </x:c>
      <x:c r="D29" s="50" t="n">
        <x:v>0.22</x:v>
      </x:c>
      <x:c r="E29" s="44" t="n">
        <x:v>48</x:v>
      </x:c>
      <x:c r="F29" s="44" t="str">
        <x:v>MODERATE</x:v>
      </x:c>
      <x:c r="G29" s="44" t="str">
        <x:v>DESIGN-BRIEF REPAIR</x:v>
      </x:c>
      <x:c r="H29" s="44" t="n">
        <x:v>0</x:v>
      </x:c>
      <x:c r="I29" s="44" t="n">
        <x:v>1</x:v>
      </x:c>
      <x:c r="J29" s="44" t="str">
        <x:v>CB120-KEN-O02-651EC5405D</x:v>
      </x:c>
      <x:c r="K29" s="44" t="str">
        <x:v>651ec5405d245b38c36d886d5070833c87ebec79da5c8f78b86e7a7a64f14cbf</x:v>
      </x:c>
      <x:c r="L29" s="44" t="str">
        <x:v>DESIGN-BRIEF COMPUTATIONAL CANDIDATE</x:v>
      </x:c>
      <x:c r="M29" s="44" t="str">
        <x:v>PHYSICAL SMELL TEST PENDING • COMMERCIAL SIMILARITY N/A</x:v>
      </x:c>
      <x:c r="N29" s="44" t="str">
        <x:v>Magnolia and metallic violet leaf float over irones, suede, sandalwood and cool clean musks.</x:v>
      </x:c>
    </x:row>
    <x:row r="30" ht="48" customHeight="1">
      <x:c r="A30" s="44" t="str">
        <x:v>O03</x:v>
      </x:c>
      <x:c r="B30" s="44" t="str">
        <x:v>Kenny Originals</x:v>
      </x:c>
      <x:c r="C30" s="44" t="str">
        <x:v>Blue Chamomile Cardamom</x:v>
      </x:c>
      <x:c r="D30" s="50" t="n">
        <x:v>0.2</x:v>
      </x:c>
      <x:c r="E30" s="44" t="n">
        <x:v>47</x:v>
      </x:c>
      <x:c r="F30" s="44" t="str">
        <x:v>MODERATE</x:v>
      </x:c>
      <x:c r="G30" s="44" t="str">
        <x:v>DESIGN-BRIEF REPAIR</x:v>
      </x:c>
      <x:c r="H30" s="44" t="n">
        <x:v>0</x:v>
      </x:c>
      <x:c r="I30" s="44" t="n">
        <x:v>0</x:v>
      </x:c>
      <x:c r="J30" s="44" t="str">
        <x:v>CB120-KEN-O03-B18DCD0168</x:v>
      </x:c>
      <x:c r="K30" s="44" t="str">
        <x:v>b18dcd0168b451b2d85b40a2cc650c6e033ff48d25e6fdd90f7c5eba34730bfd</x:v>
      </x:c>
      <x:c r="L30" s="44" t="str">
        <x:v>DESIGN-BRIEF COMPUTATIONAL CANDIDATE</x:v>
      </x:c>
      <x:c r="M30" s="44" t="str">
        <x:v>PHYSICAL SMELL TEST PENDING • COMMERCIAL SIMILARITY N/A</x:v>
      </x:c>
      <x:c r="N30" s="44" t="str">
        <x:v>A transparent blue-chamomile illusion links cardamom, lavender, ionones, cool air and dry amber woods.</x:v>
      </x:c>
    </x:row>
    <x:row r="31" ht="48" customHeight="1">
      <x:c r="A31" s="44" t="str">
        <x:v>O04</x:v>
      </x:c>
      <x:c r="B31" s="44" t="str">
        <x:v>Kenny Originals</x:v>
      </x:c>
      <x:c r="C31" s="44" t="str">
        <x:v>Storax Black Iris</x:v>
      </x:c>
      <x:c r="D31" s="50" t="n">
        <x:v>0.25</x:v>
      </x:c>
      <x:c r="E31" s="44" t="n">
        <x:v>48</x:v>
      </x:c>
      <x:c r="F31" s="44" t="str">
        <x:v>MODERATE</x:v>
      </x:c>
      <x:c r="G31" s="44" t="str">
        <x:v>DESIGN-BRIEF REPAIR</x:v>
      </x:c>
      <x:c r="H31" s="44" t="n">
        <x:v>0</x:v>
      </x:c>
      <x:c r="I31" s="44" t="n">
        <x:v>2</x:v>
      </x:c>
      <x:c r="J31" s="44" t="str">
        <x:v>CB120-KEN-O04-7276636F9A</x:v>
      </x:c>
      <x:c r="K31" s="44" t="str">
        <x:v>7276636f9a0ee22278af71b4c16792a54d0674d6f8570b8f846e22a404790423</x:v>
      </x:c>
      <x:c r="L31" s="44" t="str">
        <x:v>DESIGN-BRIEF COMPUTATIONAL CANDIDATE</x:v>
      </x:c>
      <x:c r="M31" s="44" t="str">
        <x:v>PHYSICAL SMELL TEST PENDING • COMMERCIAL SIMILARITY N/A</x:v>
      </x:c>
      <x:c r="N31" s="44" t="str">
        <x:v>Black iris, violet leaf and irone emerge from Turkish storax, frankincense, suede, agarwood and dark sandalwood.</x:v>
      </x:c>
    </x:row>
    <x:row r="32" ht="48" customHeight="1">
      <x:c r="A32" s="44" t="str">
        <x:v>O05</x:v>
      </x:c>
      <x:c r="B32" s="44" t="str">
        <x:v>Kenny Originals</x:v>
      </x:c>
      <x:c r="C32" s="44" t="str">
        <x:v>Vietnamese Benzoin Vetiver</x:v>
      </x:c>
      <x:c r="D32" s="50" t="n">
        <x:v>0.22</x:v>
      </x:c>
      <x:c r="E32" s="44" t="n">
        <x:v>48</x:v>
      </x:c>
      <x:c r="F32" s="44" t="str">
        <x:v>MODERATE</x:v>
      </x:c>
      <x:c r="G32" s="44" t="str">
        <x:v>DESIGN-BRIEF REPAIR</x:v>
      </x:c>
      <x:c r="H32" s="44" t="n">
        <x:v>0</x:v>
      </x:c>
      <x:c r="I32" s="44" t="n">
        <x:v>2</x:v>
      </x:c>
      <x:c r="J32" s="44" t="str">
        <x:v>CB120-KEN-O05-0391F0EB7D</x:v>
      </x:c>
      <x:c r="K32" s="44" t="str">
        <x:v>0391f0eb7d64b61e96b5305a005be0be2d0d011380704fe4e923b419afe16236</x:v>
      </x:c>
      <x:c r="L32" s="44" t="str">
        <x:v>DESIGN-BRIEF COMPUTATIONAL CANDIDATE</x:v>
      </x:c>
      <x:c r="M32" s="44" t="str">
        <x:v>PHYSICAL SMELL TEST PENDING • COMMERCIAL SIMILARITY N/A</x:v>
      </x:c>
      <x:c r="N32" s="44" t="str">
        <x:v>Polished vetiver and coriander cut through Vietnamese benzoin, iris petals, mineral amber and soft musk.</x:v>
      </x:c>
    </x:row>
    <x:row r="33" ht="48" customHeight="1">
      <x:c r="A33" s="44" t="str">
        <x:v>O06</x:v>
      </x:c>
      <x:c r="B33" s="44" t="str">
        <x:v>Kenny Originals</x:v>
      </x:c>
      <x:c r="C33" s="44" t="str">
        <x:v>Honeyed Green Woods</x:v>
      </x:c>
      <x:c r="D33" s="50" t="n">
        <x:v>0.22</x:v>
      </x:c>
      <x:c r="E33" s="44" t="n">
        <x:v>48</x:v>
      </x:c>
      <x:c r="F33" s="44" t="str">
        <x:v>MODERATE</x:v>
      </x:c>
      <x:c r="G33" s="44" t="str">
        <x:v>DESIGN-BRIEF REPAIR</x:v>
      </x:c>
      <x:c r="H33" s="44" t="n">
        <x:v>2</x:v>
      </x:c>
      <x:c r="I33" s="44" t="n">
        <x:v>1</x:v>
      </x:c>
      <x:c r="J33" s="44" t="str">
        <x:v>CB120-KEN-O06-696A64A8F9</x:v>
      </x:c>
      <x:c r="K33" s="44" t="str">
        <x:v>696a64a8f9695e98f8a1b30ca52f01230ecb3591f84c7824aee90d785766720b</x:v>
      </x:c>
      <x:c r="L33" s="44" t="str">
        <x:v>DESIGN-BRIEF COMPUTATIONAL CANDIDATE</x:v>
      </x:c>
      <x:c r="M33" s="44" t="str">
        <x:v>PHYSICAL SMELL TEST PENDING • COMMERCIAL SIMILARITY N/A</x:v>
      </x:c>
      <x:c r="N33" s="44" t="str">
        <x:v>Magnolia and honeyed florals glow through wet green leaves, moss, vetiver, transparent woods and ambergris musk.</x:v>
      </x:c>
    </x:row>
    <x:row r="34" ht="48" customHeight="1">
      <x:c r="A34" s="44" t="str">
        <x:v>H01</x:v>
      </x:c>
      <x:c r="B34" s="44" t="str">
        <x:v>Dior</x:v>
      </x:c>
      <x:c r="C34" s="44" t="str">
        <x:v>Dior Homme 2005</x:v>
      </x:c>
      <x:c r="D34" s="50" t="n">
        <x:v>0.15</x:v>
      </x:c>
      <x:c r="E34" s="44" t="n">
        <x:v>67</x:v>
      </x:c>
      <x:c r="F34" s="44" t="str">
        <x:v>COMPLEX</x:v>
      </x:c>
      <x:c r="G34" s="44" t="str">
        <x:v>PRESERVE CANDIDATE</x:v>
      </x:c>
      <x:c r="H34" s="44" t="n">
        <x:v>1</x:v>
      </x:c>
      <x:c r="I34" s="44" t="n">
        <x:v>1</x:v>
      </x:c>
      <x:c r="J34" s="44" t="str">
        <x:v>CB120-DIOR-H01-D6F483D9B0</x:v>
      </x:c>
      <x:c r="K34" s="44" t="str">
        <x:v>d6f483d9b03bbf87efaba3f12ddee78cb6e22b07cf88b29001f29b63b5a4f21e</x:v>
      </x:c>
      <x:c r="L34" s="44" t="str">
        <x:v>COMMERCIAL-SIMILARITY COMPUTATIONAL CANDIDATE</x:v>
      </x:c>
      <x:c r="M34" s="44" t="str">
        <x:v>PENDING PHYSICAL SMELL TEST • ZERO EMPIRICAL SIMILARITY PASS</x:v>
      </x:c>
      <x:c r="N34" s="44" t="str">
        <x:v>Lavender, bergamot and sage lead to iris, cocoa, amber and cardamom, then leather, vetiver and patchouli.</x:v>
      </x:c>
    </x:row>
    <x:row r="35" ht="48" customHeight="1">
      <x:c r="A35" s="44" t="str">
        <x:v>H02</x:v>
      </x:c>
      <x:c r="B35" s="44" t="str">
        <x:v>Dior</x:v>
      </x:c>
      <x:c r="C35" s="44" t="str">
        <x:v>Dior Homme Original – 2011 lineage/current</x:v>
      </x:c>
      <x:c r="D35" s="50" t="n">
        <x:v>0.15</x:v>
      </x:c>
      <x:c r="E35" s="44" t="n">
        <x:v>57</x:v>
      </x:c>
      <x:c r="F35" s="44" t="str">
        <x:v>COMPLEX</x:v>
      </x:c>
      <x:c r="G35" s="44" t="str">
        <x:v>PRESERVE CANDIDATE</x:v>
      </x:c>
      <x:c r="H35" s="44" t="n">
        <x:v>0</x:v>
      </x:c>
      <x:c r="I35" s="44" t="n">
        <x:v>1</x:v>
      </x:c>
      <x:c r="J35" s="44" t="str">
        <x:v>CB120-DIOR-H02-D8F1CA7404</x:v>
      </x:c>
      <x:c r="K35" s="44" t="str">
        <x:v>d8f1ca74048e6f0ffeb919d500ea3b67fdf6c9c91d7597483c34116577e2ad40</x:v>
      </x:c>
      <x:c r="L35" s="44" t="str">
        <x:v>COMMERCIAL-SIMILARITY COMPUTATIONAL CANDIDATE</x:v>
      </x:c>
      <x:c r="M35" s="44" t="str">
        <x:v>PENDING PHYSICAL SMELL TEST • ZERO EMPIRICAL SIMILARITY PASS</x:v>
      </x:c>
      <x:c r="N35" s="44" t="str">
        <x:v>Guatemalan cardamom opens a masculine Tuscan-iris heart over virile vetiver and tailored woods.</x:v>
      </x:c>
    </x:row>
    <x:row r="36" ht="48" customHeight="1">
      <x:c r="A36" s="44" t="str">
        <x:v>H03</x:v>
      </x:c>
      <x:c r="B36" s="44" t="str">
        <x:v>Dior</x:v>
      </x:c>
      <x:c r="C36" s="44" t="str">
        <x:v>Dior Homme Eau de Toilette – current 2020</x:v>
      </x:c>
      <x:c r="D36" s="50" t="n">
        <x:v>0.15</x:v>
      </x:c>
      <x:c r="E36" s="44" t="n">
        <x:v>45</x:v>
      </x:c>
      <x:c r="F36" s="44" t="str">
        <x:v>MODERATE</x:v>
      </x:c>
      <x:c r="G36" s="44" t="str">
        <x:v>PRESERVE CANDIDATE</x:v>
      </x:c>
      <x:c r="H36" s="44" t="n">
        <x:v>0</x:v>
      </x:c>
      <x:c r="I36" s="44" t="n">
        <x:v>0</x:v>
      </x:c>
      <x:c r="J36" s="44" t="str">
        <x:v>CB120-DIOR-H03-2FAA98BB11</x:v>
      </x:c>
      <x:c r="K36" s="44" t="str">
        <x:v>2faa98bb112b7218b267d996c919d65a9d5e654ece0e2f86fafb8299c0553b5f</x:v>
      </x:c>
      <x:c r="L36" s="44" t="str">
        <x:v>COMMERCIAL-SIMILARITY COMPUTATIONAL CANDIDATE</x:v>
      </x:c>
      <x:c r="M36" s="44" t="str">
        <x:v>PENDING PHYSICAL SMELL TEST • ZERO EMPIRICAL SIMILARITY PASS</x:v>
      </x:c>
      <x:c r="N36" s="44" t="str">
        <x:v>Atlas cedar and Haitian vetiver form a smooth-and-raw woody polyphony with patchouli, spice and a clean modern trail.</x:v>
      </x:c>
    </x:row>
    <x:row r="37" ht="48" customHeight="1">
      <x:c r="A37" s="44" t="str">
        <x:v>H04</x:v>
      </x:c>
      <x:c r="B37" s="44" t="str">
        <x:v>Dior</x:v>
      </x:c>
      <x:c r="C37" s="44" t="str">
        <x:v>Dior Homme Intense 2007</x:v>
      </x:c>
      <x:c r="D37" s="50" t="n">
        <x:v>0.2</x:v>
      </x:c>
      <x:c r="E37" s="44" t="n">
        <x:v>59</x:v>
      </x:c>
      <x:c r="F37" s="44" t="str">
        <x:v>COMPLEX</x:v>
      </x:c>
      <x:c r="G37" s="44" t="str">
        <x:v>PRESERVE CANDIDATE</x:v>
      </x:c>
      <x:c r="H37" s="44" t="n">
        <x:v>0</x:v>
      </x:c>
      <x:c r="I37" s="44" t="n">
        <x:v>1</x:v>
      </x:c>
      <x:c r="J37" s="44" t="str">
        <x:v>CB120-DIOR-H04-80860467C4</x:v>
      </x:c>
      <x:c r="K37" s="44" t="str">
        <x:v>80860467c4982ab10b62758cf44ebe2c6336281bc17bb8bd74e9cd74ed5869d8</x:v>
      </x:c>
      <x:c r="L37" s="44" t="str">
        <x:v>COMMERCIAL-SIMILARITY COMPUTATIONAL CANDIDATE</x:v>
      </x:c>
      <x:c r="M37" s="44" t="str">
        <x:v>PENDING PHYSICAL SMELL TEST • ZERO EMPIRICAL SIMILARITY PASS</x:v>
      </x:c>
      <x:c r="N37" s="44" t="str">
        <x:v>Dense iris, vanilla and amber are framed by cedar and vetiver with a faint aromatic opening.</x:v>
      </x:c>
    </x:row>
    <x:row r="38" ht="48" customHeight="1">
      <x:c r="A38" s="44" t="str">
        <x:v>H05</x:v>
      </x:c>
      <x:c r="B38" s="44" t="str">
        <x:v>Dior</x:v>
      </x:c>
      <x:c r="C38" s="44" t="str">
        <x:v>Dior Homme Intense – 2011 lineage/current</x:v>
      </x:c>
      <x:c r="D38" s="50" t="n">
        <x:v>0.2</x:v>
      </x:c>
      <x:c r="E38" s="44" t="n">
        <x:v>58</x:v>
      </x:c>
      <x:c r="F38" s="44" t="str">
        <x:v>COMPLEX</x:v>
      </x:c>
      <x:c r="G38" s="44" t="str">
        <x:v>PRESERVE CANDIDATE</x:v>
      </x:c>
      <x:c r="H38" s="44" t="n">
        <x:v>1</x:v>
      </x:c>
      <x:c r="I38" s="44" t="n">
        <x:v>1</x:v>
      </x:c>
      <x:c r="J38" s="44" t="str">
        <x:v>CB120-DIOR-H05-0346E1E846</x:v>
      </x:c>
      <x:c r="K38" s="44" t="str">
        <x:v>0346e1e84632f31c7bef1ef01ec23534ee6364aaa7a573d3befa4318f8b8de62</x:v>
      </x:c>
      <x:c r="L38" s="44" t="str">
        <x:v>COMMERCIAL-SIMILARITY COMPUTATIONAL CANDIDATE</x:v>
      </x:c>
      <x:c r="M38" s="44" t="str">
        <x:v>PENDING PHYSICAL SMELL TEST • ZERO EMPIRICAL SIMILARITY PASS</x:v>
      </x:c>
      <x:c r="N38" s="44" t="str">
        <x:v>Tuscan iris is enlarged by ambrette-seed pear liqueur and silk talc, then supported by amber and Virginia cedar.</x:v>
      </x:c>
    </x:row>
    <x:row r="39" ht="48" customHeight="1">
      <x:c r="A39" s="44" t="str">
        <x:v>H06</x:v>
      </x:c>
      <x:c r="B39" s="44" t="str">
        <x:v>Dior</x:v>
      </x:c>
      <x:c r="C39" s="44" t="str">
        <x:v>Dior Homme Parfum 2014 legacy</x:v>
      </x:c>
      <x:c r="D39" s="50" t="n">
        <x:v>0.25</x:v>
      </x:c>
      <x:c r="E39" s="44" t="n">
        <x:v>61</x:v>
      </x:c>
      <x:c r="F39" s="44" t="str">
        <x:v>COMPLEX</x:v>
      </x:c>
      <x:c r="G39" s="44" t="str">
        <x:v>PRESERVE CANDIDATE</x:v>
      </x:c>
      <x:c r="H39" s="44" t="n">
        <x:v>0</x:v>
      </x:c>
      <x:c r="I39" s="44" t="n">
        <x:v>1</x:v>
      </x:c>
      <x:c r="J39" s="44" t="str">
        <x:v>CB120-DIOR-H06-455DEBFCDB</x:v>
      </x:c>
      <x:c r="K39" s="44" t="str">
        <x:v>455debfcdb58e3fabb423bdfe68aeb07645984de76e57be1296db260f472b090</x:v>
      </x:c>
      <x:c r="L39" s="44" t="str">
        <x:v>COMMERCIAL-SIMILARITY COMPUTATIONAL CANDIDATE</x:v>
      </x:c>
      <x:c r="M39" s="44" t="str">
        <x:v>PENDING PHYSICAL SMELL TEST • ZERO EMPIRICAL SIMILARITY PASS</x:v>
      </x:c>
      <x:c r="N39" s="44" t="str">
        <x:v>Tuscan iris and Italian orange pass through rose and leather into sandalwood, ambrette, oud and cedar.</x:v>
      </x:c>
    </x:row>
    <x:row r="40" ht="48" customHeight="1">
      <x:c r="A40" s="44" t="str">
        <x:v>H07</x:v>
      </x:c>
      <x:c r="B40" s="44" t="str">
        <x:v>Dior</x:v>
      </x:c>
      <x:c r="C40" s="44" t="str">
        <x:v>Dior Homme Parfum – current Francis Kurkdjian edition</x:v>
      </x:c>
      <x:c r="D40" s="50" t="n">
        <x:v>0.25</x:v>
      </x:c>
      <x:c r="E40" s="44" t="n">
        <x:v>58</x:v>
      </x:c>
      <x:c r="F40" s="44" t="str">
        <x:v>COMPLEX</x:v>
      </x:c>
      <x:c r="G40" s="44" t="str">
        <x:v>BOUNDED REPAIR</x:v>
      </x:c>
      <x:c r="H40" s="44" t="n">
        <x:v>2</x:v>
      </x:c>
      <x:c r="I40" s="44" t="n">
        <x:v>1</x:v>
      </x:c>
      <x:c r="J40" s="44" t="str">
        <x:v>CB120-DIOR-H07-4788A7F070</x:v>
      </x:c>
      <x:c r="K40" s="44" t="str">
        <x:v>4788a7f0703a50ca2e880de71ba886431aa74f088c0d5048e54e512f52a3d5d8</x:v>
      </x:c>
      <x:c r="L40" s="44" t="str">
        <x:v>COMMERCIAL-SIMILARITY COMPUTATIONAL CANDIDATE</x:v>
      </x:c>
      <x:c r="M40" s="44" t="str">
        <x:v>PENDING PHYSICAL SMELL TEST • ZERO EMPIRICAL SIMILARITY PASS</x:v>
      </x:c>
      <x:c r="N40" s="44" t="str">
        <x:v>Heart: dual iris from bright soft petals to powerful coffee-chocolate rhizome, deliberately overdosed. Base: dense patchouli, powerful vetiver, coumarin and dry cut-hay amber woods.</x:v>
      </x:c>
    </x:row>
    <x:row r="41" ht="48" customHeight="1">
      <x:c r="A41" s="44" t="str">
        <x:v>H08</x:v>
      </x:c>
      <x:c r="B41" s="44" t="str">
        <x:v>Dior</x:v>
      </x:c>
      <x:c r="C41" s="44" t="str">
        <x:v>Dior Homme Cologne 2007</x:v>
      </x:c>
      <x:c r="D41" s="50" t="n">
        <x:v>0.1</x:v>
      </x:c>
      <x:c r="E41" s="44" t="n">
        <x:v>59</x:v>
      </x:c>
      <x:c r="F41" s="44" t="str">
        <x:v>COMPLEX</x:v>
      </x:c>
      <x:c r="G41" s="44" t="str">
        <x:v>BOUNDED REPAIR</x:v>
      </x:c>
      <x:c r="H41" s="44" t="n">
        <x:v>1</x:v>
      </x:c>
      <x:c r="I41" s="44" t="n">
        <x:v>1</x:v>
      </x:c>
      <x:c r="J41" s="44" t="str">
        <x:v>CB120-DIOR-H08-665C140798</x:v>
      </x:c>
      <x:c r="K41" s="44" t="str">
        <x:v>665c140798d76c953b8f01c9fdf7afdca11a17edd41ebdf24550ccd9ba289e01</x:v>
      </x:c>
      <x:c r="L41" s="44" t="str">
        <x:v>COMMERCIAL-SIMILARITY COMPUTATIONAL CANDIDATE</x:v>
      </x:c>
      <x:c r="M41" s="44" t="str">
        <x:v>PENDING PHYSICAL SMELL TEST • ZERO EMPIRICAL SIMILARITY PASS</x:v>
      </x:c>
      <x:c r="N41" s="44" t="str">
        <x:v>Mandarin, neroli and bergamot mix with lavender, cardamom and sage above iris, vetiver, cocoa, leather, amber and patchouli.</x:v>
      </x:c>
    </x:row>
    <x:row r="42" ht="48" customHeight="1">
      <x:c r="A42" s="44" t="str">
        <x:v>H09</x:v>
      </x:c>
      <x:c r="B42" s="44" t="str">
        <x:v>Dior</x:v>
      </x:c>
      <x:c r="C42" s="44" t="str">
        <x:v>Dior Homme Cologne – current 2013 lineage</x:v>
      </x:c>
      <x:c r="D42" s="50" t="n">
        <x:v>0.1</x:v>
      </x:c>
      <x:c r="E42" s="44" t="n">
        <x:v>29</x:v>
      </x:c>
      <x:c r="F42" s="44" t="str">
        <x:v>STREAMLINED</x:v>
      </x:c>
      <x:c r="G42" s="44" t="str">
        <x:v>BOUNDED REPAIR</x:v>
      </x:c>
      <x:c r="H42" s="44" t="n">
        <x:v>0</x:v>
      </x:c>
      <x:c r="I42" s="44" t="n">
        <x:v>0</x:v>
      </x:c>
      <x:c r="J42" s="44" t="str">
        <x:v>CB120-DIOR-H09-3C6B3CAB19</x:v>
      </x:c>
      <x:c r="K42" s="44" t="str">
        <x:v>3c6b3cab191ec97146c7cdfbbd882385f9856e88a3babc0d8d1a3610aca42d10</x:v>
      </x:c>
      <x:c r="L42" s="44" t="str">
        <x:v>COMMERCIAL-SIMILARITY COMPUTATIONAL CANDIDATE</x:v>
      </x:c>
      <x:c r="M42" s="44" t="str">
        <x:v>PENDING PHYSICAL SMELL TEST • ZERO EMPIRICAL SIMILARITY PASS</x:v>
      </x:c>
      <x:c r="N42" s="44" t="str">
        <x:v>Calabrian bergamot and grapefruit-blossom freshness are polished into a minimalist white-musky trail.</x:v>
      </x:c>
    </x:row>
    <x:row r="43" ht="48" customHeight="1">
      <x:c r="A43" s="44" t="str">
        <x:v>H10</x:v>
      </x:c>
      <x:c r="B43" s="44" t="str">
        <x:v>Dior</x:v>
      </x:c>
      <x:c r="C43" s="44" t="str">
        <x:v>Dior Homme Eau for Men 2014</x:v>
      </x:c>
      <x:c r="D43" s="50" t="n">
        <x:v>0.15</x:v>
      </x:c>
      <x:c r="E43" s="44" t="n">
        <x:v>44</x:v>
      </x:c>
      <x:c r="F43" s="44" t="str">
        <x:v>MODERATE</x:v>
      </x:c>
      <x:c r="G43" s="44" t="str">
        <x:v>PRESERVE CANDIDATE</x:v>
      </x:c>
      <x:c r="H43" s="44" t="n">
        <x:v>0</x:v>
      </x:c>
      <x:c r="I43" s="44" t="n">
        <x:v>0</x:v>
      </x:c>
      <x:c r="J43" s="44" t="str">
        <x:v>CB120-DIOR-H10-5BE2A1858D</x:v>
      </x:c>
      <x:c r="K43" s="44" t="str">
        <x:v>5be2a1858dd04fd4d94df61bf975975f73c10b06ba72b302128abbfbcfdf5fe4</x:v>
      </x:c>
      <x:c r="L43" s="44" t="str">
        <x:v>COMMERCIAL-SIMILARITY COMPUTATIONAL CANDIDATE</x:v>
      </x:c>
      <x:c r="M43" s="44" t="str">
        <x:v>PENDING PHYSICAL SMELL TEST • ZERO EMPIRICAL SIMILARITY PASS</x:v>
      </x:c>
      <x:c r="N43" s="44" t="str">
        <x:v>Coriander, grapefruit and Calabrian bergamot open into translucent Tuscan iris over Virginia cedar and amber.</x:v>
      </x:c>
    </x:row>
    <x:row r="44" ht="48" customHeight="1">
      <x:c r="A44" s="44" t="str">
        <x:v>H11</x:v>
      </x:c>
      <x:c r="B44" s="44" t="str">
        <x:v>Dior</x:v>
      </x:c>
      <x:c r="C44" s="44" t="str">
        <x:v>Dior Homme Sport 2008</x:v>
      </x:c>
      <x:c r="D44" s="50" t="n">
        <x:v>0.15</x:v>
      </x:c>
      <x:c r="E44" s="44" t="n">
        <x:v>49</x:v>
      </x:c>
      <x:c r="F44" s="44" t="str">
        <x:v>MODERATE</x:v>
      </x:c>
      <x:c r="G44" s="44" t="str">
        <x:v>BOUNDED REPAIR</x:v>
      </x:c>
      <x:c r="H44" s="44" t="n">
        <x:v>2</x:v>
      </x:c>
      <x:c r="I44" s="44" t="n">
        <x:v>0</x:v>
      </x:c>
      <x:c r="J44" s="44" t="str">
        <x:v>CB120-DIOR-H11-1A2CFFCE6B</x:v>
      </x:c>
      <x:c r="K44" s="44" t="str">
        <x:v>1a2cffce6bf55e50d358bdce84a17a952d37f149b24675f96288b1ac57546c02</x:v>
      </x:c>
      <x:c r="L44" s="44" t="str">
        <x:v>COMMERCIAL-SIMILARITY COMPUTATIONAL CANDIDATE</x:v>
      </x:c>
      <x:c r="M44" s="44" t="str">
        <x:v>PENDING PHYSICAL SMELL TEST • ZERO EMPIRICAL SIMILARITY PASS</x:v>
      </x:c>
      <x:c r="N44" s="44" t="str">
        <x:v>Lemon, grapefruit, bergamot and elemi-like resin lead to ginger-spice, vetiver and cedar, with aromatic lavender and sandalwood.</x:v>
      </x:c>
    </x:row>
    <x:row r="45" ht="48" customHeight="1">
      <x:c r="A45" s="44" t="str">
        <x:v>H12</x:v>
      </x:c>
      <x:c r="B45" s="44" t="str">
        <x:v>Dior</x:v>
      </x:c>
      <x:c r="C45" s="44" t="str">
        <x:v>Dior Homme Sport 2012</x:v>
      </x:c>
      <x:c r="D45" s="50" t="n">
        <x:v>0.15</x:v>
      </x:c>
      <x:c r="E45" s="44" t="n">
        <x:v>49</x:v>
      </x:c>
      <x:c r="F45" s="44" t="str">
        <x:v>MODERATE</x:v>
      </x:c>
      <x:c r="G45" s="44" t="str">
        <x:v>PRESERVE CANDIDATE</x:v>
      </x:c>
      <x:c r="H45" s="44" t="n">
        <x:v>1</x:v>
      </x:c>
      <x:c r="I45" s="44" t="n">
        <x:v>0</x:v>
      </x:c>
      <x:c r="J45" s="44" t="str">
        <x:v>CB120-DIOR-H12-EE3D93C133</x:v>
      </x:c>
      <x:c r="K45" s="44" t="str">
        <x:v>ee3d93c1330c9bb9f89769671c4efd1182cdad1792c23144509e82cbf9287132</x:v>
      </x:c>
      <x:c r="L45" s="44" t="str">
        <x:v>COMMERCIAL-SIMILARITY COMPUTATIONAL CANDIDATE</x:v>
      </x:c>
      <x:c r="M45" s="44" t="str">
        <x:v>PENDING PHYSICAL SMELL TEST • ZERO EMPIRICAL SIMILARITY PASS</x:v>
      </x:c>
      <x:c r="N45" s="44" t="str">
        <x:v>Sicilian citron and ginger-flower freshness cross a translucent iris heart into cedar and green notes.</x:v>
      </x:c>
    </x:row>
    <x:row r="46" ht="48" customHeight="1">
      <x:c r="A46" s="44" t="str">
        <x:v>H13</x:v>
      </x:c>
      <x:c r="B46" s="44" t="str">
        <x:v>Dior</x:v>
      </x:c>
      <x:c r="C46" s="44" t="str">
        <x:v>Dior Homme Sport 2017</x:v>
      </x:c>
      <x:c r="D46" s="50" t="n">
        <x:v>0.15</x:v>
      </x:c>
      <x:c r="E46" s="44" t="n">
        <x:v>44</x:v>
      </x:c>
      <x:c r="F46" s="44" t="str">
        <x:v>MODERATE</x:v>
      </x:c>
      <x:c r="G46" s="44" t="str">
        <x:v>BOUNDED REPAIR</x:v>
      </x:c>
      <x:c r="H46" s="44" t="n">
        <x:v>1</x:v>
      </x:c>
      <x:c r="I46" s="44" t="n">
        <x:v>0</x:v>
      </x:c>
      <x:c r="J46" s="44" t="str">
        <x:v>CB120-DIOR-H13-CA8F88D233</x:v>
      </x:c>
      <x:c r="K46" s="44" t="str">
        <x:v>ca8f88d23367868b3ea6bb9a9c77f68d8ad6c9db5e0a3fee3674e5412bf61599</x:v>
      </x:c>
      <x:c r="L46" s="44" t="str">
        <x:v>COMMERCIAL-SIMILARITY COMPUTATIONAL CANDIDATE</x:v>
      </x:c>
      <x:c r="M46" s="44" t="str">
        <x:v>PENDING PHYSICAL SMELL TEST • ZERO EMPIRICAL SIMILARITY PASS</x:v>
      </x:c>
      <x:c r="N46" s="44" t="str">
        <x:v>Blood orange, grapefruit, lemon and pear explode into pink-pepper spice, then sandalwood and vetiver.</x:v>
      </x:c>
    </x:row>
    <x:row r="47" ht="48" customHeight="1">
      <x:c r="A47" s="44" t="str">
        <x:v>H14</x:v>
      </x:c>
      <x:c r="B47" s="44" t="str">
        <x:v>Dior</x:v>
      </x:c>
      <x:c r="C47" s="44" t="str">
        <x:v>Dior Homme Sport – current 2021/2022</x:v>
      </x:c>
      <x:c r="D47" s="50" t="n">
        <x:v>0.15</x:v>
      </x:c>
      <x:c r="E47" s="44" t="n">
        <x:v>46</x:v>
      </x:c>
      <x:c r="F47" s="44" t="str">
        <x:v>MODERATE</x:v>
      </x:c>
      <x:c r="G47" s="44" t="str">
        <x:v>BOUNDED REPAIR</x:v>
      </x:c>
      <x:c r="H47" s="44" t="n">
        <x:v>2</x:v>
      </x:c>
      <x:c r="I47" s="44" t="n">
        <x:v>0</x:v>
      </x:c>
      <x:c r="J47" s="44" t="str">
        <x:v>CB120-DIOR-H14-A88821AB2F</x:v>
      </x:c>
      <x:c r="K47" s="44" t="str">
        <x:v>a88821ab2f29d4b04c4159aa8d999fb95b769f5e74add5112a3176d6aa730533</x:v>
      </x:c>
      <x:c r="L47" s="44" t="str">
        <x:v>COMMERCIAL-SIMILARITY COMPUTATIONAL CANDIDATE</x:v>
      </x:c>
      <x:c r="M47" s="44" t="str">
        <x:v>PENDING PHYSICAL SMELL TEST • ZERO EMPIRICAL SIMILARITY PASS</x:v>
      </x:c>
      <x:c r="N47" s="44" t="str">
        <x:v>Bright bergamot and intense pink-pepper energy move into elemi-incense, warm amber, spice and persistent woods.</x:v>
      </x:c>
    </x:row>
    <x:row r="48" ht="48" customHeight="1">
      <x:c r="A48" s="44" t="str">
        <x:v>H15</x:v>
      </x:c>
      <x:c r="B48" s="44" t="str">
        <x:v>Dior</x:v>
      </x:c>
      <x:c r="C48" s="44" t="str">
        <x:v>Dior Homme Sport Very Cool Spray</x:v>
      </x:c>
      <x:c r="D48" s="50" t="n">
        <x:v>0.12</x:v>
      </x:c>
      <x:c r="E48" s="44" t="n">
        <x:v>43</x:v>
      </x:c>
      <x:c r="F48" s="44" t="str">
        <x:v>MODERATE</x:v>
      </x:c>
      <x:c r="G48" s="44" t="str">
        <x:v>PRESERVE CANDIDATE</x:v>
      </x:c>
      <x:c r="H48" s="44" t="n">
        <x:v>0</x:v>
      </x:c>
      <x:c r="I48" s="44" t="n">
        <x:v>0</x:v>
      </x:c>
      <x:c r="J48" s="44" t="str">
        <x:v>CB120-DIOR-H15-ED366FA731</x:v>
      </x:c>
      <x:c r="K48" s="44" t="str">
        <x:v>ed366fa7318a7770f4351a9ed6c0f2befbaa78634832f2d868a9b96a5cfaed14</x:v>
      </x:c>
      <x:c r="L48" s="44" t="str">
        <x:v>COMMERCIAL-SIMILARITY COMPUTATIONAL CANDIDATE</x:v>
      </x:c>
      <x:c r="M48" s="44" t="str">
        <x:v>PENDING PHYSICAL SMELL TEST • ZERO EMPIRICAL SIMILARITY PASS</x:v>
      </x:c>
      <x:c r="N48" s="44" t="str">
        <x:v>Aerosol-brightened Sport with reduced citron bitterness, extra blood orange, pink-pepper spice and a streamlined sandalwood-vetiver base.</x:v>
      </x:c>
    </x:row>
    <x:row r="49" ht="48" customHeight="1">
      <x:c r="A49" s="44" t="str">
        <x:v>S01</x:v>
      </x:c>
      <x:c r="B49" s="44" t="str">
        <x:v>Dior</x:v>
      </x:c>
      <x:c r="C49" s="44" t="str">
        <x:v>Sauvage Eau de Toilette – 2015 launch profile</x:v>
      </x:c>
      <x:c r="D49" s="50" t="n">
        <x:v>0.15</x:v>
      </x:c>
      <x:c r="E49" s="44" t="n">
        <x:v>43</x:v>
      </x:c>
      <x:c r="F49" s="44" t="str">
        <x:v>MODERATE</x:v>
      </x:c>
      <x:c r="G49" s="44" t="str">
        <x:v>BOUNDED REPAIR</x:v>
      </x:c>
      <x:c r="H49" s="44" t="n">
        <x:v>0</x:v>
      </x:c>
      <x:c r="I49" s="44" t="n">
        <x:v>0</x:v>
      </x:c>
      <x:c r="J49" s="44" t="str">
        <x:v>CB120-DIOR-S01-F218E6E8E8</x:v>
      </x:c>
      <x:c r="K49" s="44" t="str">
        <x:v>f218e6e8e8e886175e91e88094dd37ce8da1a1aeace3db7151bb22cb4434aaa7</x:v>
      </x:c>
      <x:c r="L49" s="44" t="str">
        <x:v>COMMERCIAL-SIMILARITY COMPUTATIONAL CANDIDATE</x:v>
      </x:c>
      <x:c r="M49" s="44" t="str">
        <x:v>PENDING PHYSICAL SMELL TEST • ZERO EMPIRICAL SIMILARITY PASS</x:v>
      </x:c>
      <x:c r="N49" s="44" t="str">
        <x:v>Calabrian bergamot and pepper over a vast fresh core, geranium-herbal texture, patchouli, cedar and an ambroxan-rich mineral trail.</x:v>
      </x:c>
    </x:row>
    <x:row r="50" ht="48" customHeight="1">
      <x:c r="A50" s="44" t="str">
        <x:v>S02</x:v>
      </x:c>
      <x:c r="B50" s="44" t="str">
        <x:v>Dior</x:v>
      </x:c>
      <x:c r="C50" s="44" t="str">
        <x:v>Sauvage Eau de Toilette – current refillable audit</x:v>
      </x:c>
      <x:c r="D50" s="50" t="n">
        <x:v>0.15</x:v>
      </x:c>
      <x:c r="E50" s="44" t="n">
        <x:v>48</x:v>
      </x:c>
      <x:c r="F50" s="44" t="str">
        <x:v>MODERATE</x:v>
      </x:c>
      <x:c r="G50" s="44" t="str">
        <x:v>CLEAN REBUILD</x:v>
      </x:c>
      <x:c r="H50" s="44" t="n">
        <x:v>3</x:v>
      </x:c>
      <x:c r="I50" s="44" t="n">
        <x:v>0</x:v>
      </x:c>
      <x:c r="J50" s="44" t="str">
        <x:v>CB120-DIOR-S02-0110471FE2</x:v>
      </x:c>
      <x:c r="K50" s="44" t="str">
        <x:v>0110471fe279f6325b89485cd1183a37c0e988587125678077bc42c4ab029073</x:v>
      </x:c>
      <x:c r="L50" s="44" t="str">
        <x:v>COMMERCIAL-SIMILARITY COMPUTATIONAL CANDIDATE</x:v>
      </x:c>
      <x:c r="M50" s="44" t="str">
        <x:v>PENDING PHYSICAL SMELL TEST • ZERO EMPIRICAL SIMILARITY PASS</x:v>
      </x:c>
      <x:c r="N50" s="44" t="str">
        <x:v>Current juicy bergamot, Sichuan-pepper spice, resinous elemi and ambery marine wood, cross-checked against the refillable formula declaration.</x:v>
      </x:c>
    </x:row>
    <x:row r="51" ht="48" customHeight="1">
      <x:c r="A51" s="44" t="str">
        <x:v>S03</x:v>
      </x:c>
      <x:c r="B51" s="44" t="str">
        <x:v>Dior</x:v>
      </x:c>
      <x:c r="C51" s="44" t="str">
        <x:v>Sauvage Very Cool Spray</x:v>
      </x:c>
      <x:c r="D51" s="50" t="n">
        <x:v>0.12</x:v>
      </x:c>
      <x:c r="E51" s="44" t="n">
        <x:v>45</x:v>
      </x:c>
      <x:c r="F51" s="44" t="str">
        <x:v>MODERATE</x:v>
      </x:c>
      <x:c r="G51" s="44" t="str">
        <x:v>BOUNDED REPAIR</x:v>
      </x:c>
      <x:c r="H51" s="44" t="n">
        <x:v>1</x:v>
      </x:c>
      <x:c r="I51" s="44" t="n">
        <x:v>0</x:v>
      </x:c>
      <x:c r="J51" s="44" t="str">
        <x:v>CB120-DIOR-S03-2DCE6BD18D</x:v>
      </x:c>
      <x:c r="K51" s="44" t="str">
        <x:v>2dce6bd18d847183e50ce060c39532d7599f23ae8a423505b6c7de5f4fda9bf6</x:v>
      </x:c>
      <x:c r="L51" s="44" t="str">
        <x:v>COMMERCIAL-SIMILARITY COMPUTATIONAL CANDIDATE</x:v>
      </x:c>
      <x:c r="M51" s="44" t="str">
        <x:v>PENDING PHYSICAL SMELL TEST • ZERO EMPIRICAL SIMILARITY PASS</x:v>
      </x:c>
      <x:c r="N51" s="44" t="str">
        <x:v>An aerosol-accelerated grapefruit and bergamot opening with pepper, lavender, geranium-like greenery, elemi texture, vetiver, cedar and ambroxan.</x:v>
      </x:c>
    </x:row>
    <x:row r="52" ht="48" customHeight="1">
      <x:c r="A52" s="44" t="str">
        <x:v>S04</x:v>
      </x:c>
      <x:c r="B52" s="44" t="str">
        <x:v>Dior</x:v>
      </x:c>
      <x:c r="C52" s="44" t="str">
        <x:v>Sauvage Eau de Parfum</x:v>
      </x:c>
      <x:c r="D52" s="50" t="n">
        <x:v>0.2</x:v>
      </x:c>
      <x:c r="E52" s="44" t="n">
        <x:v>43</x:v>
      </x:c>
      <x:c r="F52" s="44" t="str">
        <x:v>MODERATE</x:v>
      </x:c>
      <x:c r="G52" s="44" t="str">
        <x:v>BOUNDED REPAIR</x:v>
      </x:c>
      <x:c r="H52" s="44" t="n">
        <x:v>0</x:v>
      </x:c>
      <x:c r="I52" s="44" t="n">
        <x:v>0</x:v>
      </x:c>
      <x:c r="J52" s="44" t="str">
        <x:v>CB120-DIOR-S04-B53AE18B22</x:v>
      </x:c>
      <x:c r="K52" s="44" t="str">
        <x:v>b53ae18b22d6b560f9e742fd2510bb1a77e7c55c8b4917271faf66639087832f</x:v>
      </x:c>
      <x:c r="L52" s="44" t="str">
        <x:v>COMMERCIAL-SIMILARITY COMPUTATIONAL CANDIDATE</x:v>
      </x:c>
      <x:c r="M52" s="44" t="str">
        <x:v>PENDING PHYSICAL SMELL TEST • ZERO EMPIRICAL SIMILARITY PASS</x:v>
      </x:c>
      <x:c r="N52" s="44" t="str">
        <x:v>Spicy Calabrian bergamot over a smoother fresh core, woody patchouli and subtly smoky Papua New Guinea vanilla.</x:v>
      </x:c>
    </x:row>
    <x:row r="53" ht="48" customHeight="1">
      <x:c r="A53" s="44" t="str">
        <x:v>S05</x:v>
      </x:c>
      <x:c r="B53" s="44" t="str">
        <x:v>Dior</x:v>
      </x:c>
      <x:c r="C53" s="44" t="str">
        <x:v>Sauvage Parfum</x:v>
      </x:c>
      <x:c r="D53" s="50" t="n">
        <x:v>0.25</x:v>
      </x:c>
      <x:c r="E53" s="44" t="n">
        <x:v>41</x:v>
      </x:c>
      <x:c r="F53" s="44" t="str">
        <x:v>MODERATE</x:v>
      </x:c>
      <x:c r="G53" s="44" t="str">
        <x:v>BOUNDED REPAIR</x:v>
      </x:c>
      <x:c r="H53" s="44" t="n">
        <x:v>0</x:v>
      </x:c>
      <x:c r="I53" s="44" t="n">
        <x:v>0</x:v>
      </x:c>
      <x:c r="J53" s="44" t="str">
        <x:v>CB120-DIOR-S05-C8207ED160</x:v>
      </x:c>
      <x:c r="K53" s="44" t="str">
        <x:v>c8207ed1605c498ae20378442a12e6e9ec946c2d456e8571a6888f51b6fb5cd8</x:v>
      </x:c>
      <x:c r="L53" s="44" t="str">
        <x:v>COMMERCIAL-SIMILARITY COMPUTATIONAL CANDIDATE</x:v>
      </x:c>
      <x:c r="M53" s="44" t="str">
        <x:v>PENDING PHYSICAL SMELL TEST • ZERO EMPIRICAL SIMILARITY PASS</x:v>
      </x:c>
      <x:c r="N53" s="44" t="str">
        <x:v>Spicy mandarin and bergamot melt into creamy sandalwood and cedar with a jammy raspberry facet, then tonka, vanilla and mineral woods.</x:v>
      </x:c>
    </x:row>
    <x:row r="54" ht="48" customHeight="1">
      <x:c r="A54" s="44" t="str">
        <x:v>S06</x:v>
      </x:c>
      <x:c r="B54" s="44" t="str">
        <x:v>Dior</x:v>
      </x:c>
      <x:c r="C54" s="44" t="str">
        <x:v>Sauvage Elixir</x:v>
      </x:c>
      <x:c r="D54" s="50" t="n">
        <x:v>0.3</x:v>
      </x:c>
      <x:c r="E54" s="44" t="n">
        <x:v>42</x:v>
      </x:c>
      <x:c r="F54" s="44" t="str">
        <x:v>MODERATE</x:v>
      </x:c>
      <x:c r="G54" s="44" t="str">
        <x:v>PRESERVE CANDIDATE</x:v>
      </x:c>
      <x:c r="H54" s="44" t="n">
        <x:v>0</x:v>
      </x:c>
      <x:c r="I54" s="44" t="n">
        <x:v>0</x:v>
      </x:c>
      <x:c r="J54" s="44" t="str">
        <x:v>CB120-DIOR-S06-A16EEF29FF</x:v>
      </x:c>
      <x:c r="K54" s="44" t="str">
        <x:v>a16eef29ffb62f1dbdf8b5ac4142fd0492a654c83205a757d9103be5a5a10cec</x:v>
      </x:c>
      <x:c r="L54" s="44" t="str">
        <x:v>COMMERCIAL-SIMILARITY COMPUTATIONAL CANDIDATE</x:v>
      </x:c>
      <x:c r="M54" s="44" t="str">
        <x:v>PENDING PHYSICAL SMELL TEST • ZERO EMPIRICAL SIMILARITY PASS</x:v>
      </x:c>
      <x:c r="N54" s="44" t="str">
        <x:v>Grapefruit and warm spices erupt over concentrated lavender, licorice, vetiver, patchouli and smooth woods.</x:v>
      </x:c>
    </x:row>
    <x:row r="55" ht="48" customHeight="1">
      <x:c r="A55" s="44" t="str">
        <x:v>S07</x:v>
      </x:c>
      <x:c r="B55" s="44" t="str">
        <x:v>Dior</x:v>
      </x:c>
      <x:c r="C55" s="44" t="str">
        <x:v>Sauvage Eau Forte</x:v>
      </x:c>
      <x:c r="D55" s="50" t="n">
        <x:v>0.22</x:v>
      </x:c>
      <x:c r="E55" s="44" t="n">
        <x:v>50</x:v>
      </x:c>
      <x:c r="F55" s="44" t="str">
        <x:v>COMPLEX</x:v>
      </x:c>
      <x:c r="G55" s="44" t="str">
        <x:v>BOUNDED REPAIR</x:v>
      </x:c>
      <x:c r="H55" s="44" t="n">
        <x:v>0</x:v>
      </x:c>
      <x:c r="I55" s="44" t="n">
        <x:v>0</x:v>
      </x:c>
      <x:c r="J55" s="44" t="str">
        <x:v>CB120-DIOR-S07-5FB6F6B5FE</x:v>
      </x:c>
      <x:c r="K55" s="44" t="str">
        <x:v>5fb6f6b5fe6e81660ac81dde034bca2c1b2b9eb32043a6dc5d3857c45790849d</x:v>
      </x:c>
      <x:c r="L55" s="44" t="str">
        <x:v>COMMERCIAL-SIMILARITY COMPUTATIONAL CANDIDATE</x:v>
      </x:c>
      <x:c r="M55" s="44" t="str">
        <x:v>PENDING PHYSICAL SMELL TEST • ZERO EMPIRICAL SIMILARITY PASS</x:v>
      </x:c>
      <x:c r="N55" s="44" t="str">
        <x:v>Cool spice and blanched lavender suspended in an alcohol-free water-and-oil matrix over musky woods and softened mineral freshness.</x:v>
      </x:c>
    </x:row>
    <x:row r="56" ht="48" customHeight="1">
      <x:c r="A56" s="44" t="str">
        <x:v>S08</x:v>
      </x:c>
      <x:c r="B56" s="44" t="str">
        <x:v>Dior</x:v>
      </x:c>
      <x:c r="C56" s="44" t="str">
        <x:v>Sauvage Extrait – 2026 launch</x:v>
      </x:c>
      <x:c r="D56" s="50" t="n">
        <x:v>0.35</x:v>
      </x:c>
      <x:c r="E56" s="44" t="n">
        <x:v>43</x:v>
      </x:c>
      <x:c r="F56" s="44" t="str">
        <x:v>MODERATE</x:v>
      </x:c>
      <x:c r="G56" s="44" t="str">
        <x:v>HOLD</x:v>
      </x:c>
      <x:c r="H56" s="44" t="n">
        <x:v>0</x:v>
      </x:c>
      <x:c r="I56" s="44" t="n">
        <x:v>0</x:v>
      </x:c>
      <x:c r="J56" s="44" t="str">
        <x:v>CB120-DIOR-S08-B461C647CB</x:v>
      </x:c>
      <x:c r="K56" s="44" t="str">
        <x:v>b461c647cbdba8f4e5eebefe12f7ac3f861af77d19d4bcc982b7029c8c0b7700</x:v>
      </x:c>
      <x:c r="L56" s="44" t="str">
        <x:v>ARCHIVED COMPUTATIONAL FORMULA • HOLD • DO NOT BATCH</x:v>
      </x:c>
      <x:c r="M56" s="44" t="str">
        <x:v>HOLD • REFERENCE / VERSION / DATA LOCK MISSING</x:v>
      </x:c>
      <x:c r="N56" s="44" t="str">
        <x:v>Prelaunch profile: lifted bergamot and lavender over Vietnamese oud with honeyed-incense facets, Atlas and Virginia cedar, patchouli and vetiver; official product existence confirmed, full official product dossier not yet locked.</x:v>
      </x:c>
    </x:row>
    <x:row r="57" ht="48" customHeight="1">
      <x:c r="A57" s="44" t="str">
        <x:v>AM-E01</x:v>
      </x:c>
      <x:c r="B57" s="44" t="str">
        <x:v>Amouage</x:v>
      </x:c>
      <x:c r="C57" s="44" t="str">
        <x:v>Opus V Woods Symphony</x:v>
      </x:c>
      <x:c r="D57" s="50" t="n">
        <x:v>0.24</x:v>
      </x:c>
      <x:c r="E57" s="44" t="n">
        <x:v>95</x:v>
      </x:c>
      <x:c r="F57" s="44" t="str">
        <x:v>VERY COMPLEX</x:v>
      </x:c>
      <x:c r="G57" s="44" t="str">
        <x:v>BOUNDED REPAIR</x:v>
      </x:c>
      <x:c r="H57" s="44" t="n">
        <x:v>2</x:v>
      </x:c>
      <x:c r="I57" s="44" t="n">
        <x:v>2</x:v>
      </x:c>
      <x:c r="J57" s="44" t="str">
        <x:v>CB120-AMOU-AM-E01-9E68E2D583</x:v>
      </x:c>
      <x:c r="K57" s="44" t="str">
        <x:v>9e68e2d583489248a9e789183b3edc56822a4962657fe481be6c32e12f1f5c6e</x:v>
      </x:c>
      <x:c r="L57" s="44" t="str">
        <x:v>COMMERCIAL-SIMILARITY COMPUTATIONAL CANDIDATE</x:v>
      </x:c>
      <x:c r="M57" s="44" t="str">
        <x:v>PENDING PHYSICAL SMELL TEST • ZERO EMPIRICAL SIMILARITY PASS</x:v>
      </x:c>
      <x:c r="N57" s="44" t="str">
        <x:v>Orris / rum / floral / oud / animalic woods</x:v>
      </x:c>
    </x:row>
    <x:row r="58" ht="48" customHeight="1">
      <x:c r="A58" s="44" t="str">
        <x:v>AM-E02</x:v>
      </x:c>
      <x:c r="B58" s="44" t="str">
        <x:v>Amouage</x:v>
      </x:c>
      <x:c r="C58" s="44" t="str">
        <x:v>Overture Man</x:v>
      </x:c>
      <x:c r="D58" s="50" t="n">
        <x:v>0.31</x:v>
      </x:c>
      <x:c r="E58" s="44" t="n">
        <x:v>100</x:v>
      </x:c>
      <x:c r="F58" s="44" t="str">
        <x:v>VERY COMPLEX</x:v>
      </x:c>
      <x:c r="G58" s="44" t="str">
        <x:v>BOUNDED REPAIR</x:v>
      </x:c>
      <x:c r="H58" s="44" t="n">
        <x:v>1</x:v>
      </x:c>
      <x:c r="I58" s="44" t="n">
        <x:v>2</x:v>
      </x:c>
      <x:c r="J58" s="44" t="str">
        <x:v>CB120-AMOU-AM-E02-E237A94D3A</x:v>
      </x:c>
      <x:c r="K58" s="44" t="str">
        <x:v>e237a94d3a7ec59273e1a027da040bbdfc2277e9f2ac5e04f85c3799b89a2b32</x:v>
      </x:c>
      <x:c r="L58" s="44" t="str">
        <x:v>COMMERCIAL-SIMILARITY COMPUTATIONAL CANDIDATE</x:v>
      </x:c>
      <x:c r="M58" s="44" t="str">
        <x:v>PENDING PHYSICAL SMELL TEST • ZERO EMPIRICAL SIMILARITY PASS</x:v>
      </x:c>
      <x:c r="N58" s="44" t="str">
        <x:v>Cognac / spice / leather / balsam / animalic woods</x:v>
      </x:c>
    </x:row>
    <x:row r="59" ht="48" customHeight="1">
      <x:c r="A59" s="44" t="str">
        <x:v>AM-E03</x:v>
      </x:c>
      <x:c r="B59" s="44" t="str">
        <x:v>Amouage</x:v>
      </x:c>
      <x:c r="C59" s="44" t="str">
        <x:v>Interlude Man</x:v>
      </x:c>
      <x:c r="D59" s="50" t="n">
        <x:v>0.29</x:v>
      </x:c>
      <x:c r="E59" s="44" t="n">
        <x:v>90</x:v>
      </x:c>
      <x:c r="F59" s="44" t="str">
        <x:v>VERY COMPLEX</x:v>
      </x:c>
      <x:c r="G59" s="44" t="str">
        <x:v>CLEAN REBUILD</x:v>
      </x:c>
      <x:c r="H59" s="44" t="n">
        <x:v>2</x:v>
      </x:c>
      <x:c r="I59" s="44" t="n">
        <x:v>2</x:v>
      </x:c>
      <x:c r="J59" s="44" t="str">
        <x:v>CB120-AMOU-AM-E03-AEE2DD2AB2</x:v>
      </x:c>
      <x:c r="K59" s="44" t="str">
        <x:v>aee2dd2ab25d4f688cbdf6447b84f8449ab214d4c16e36da3f62519797dd2a69</x:v>
      </x:c>
      <x:c r="L59" s="44" t="str">
        <x:v>COMMERCIAL-SIMILARITY COMPUTATIONAL CANDIDATE</x:v>
      </x:c>
      <x:c r="M59" s="44" t="str">
        <x:v>PENDING PHYSICAL SMELL TEST • ZERO EMPIRICAL SIMILARITY PASS</x:v>
      </x:c>
      <x:c r="N59" s="44" t="str">
        <x:v>Oregano / pimento / frankincense / leather / oud</x:v>
      </x:c>
    </x:row>
    <x:row r="60" ht="48" customHeight="1">
      <x:c r="A60" s="44" t="str">
        <x:v>AM-E04</x:v>
      </x:c>
      <x:c r="B60" s="44" t="str">
        <x:v>Amouage</x:v>
      </x:c>
      <x:c r="C60" s="44" t="str">
        <x:v>Interlude 53 Man</x:v>
      </x:c>
      <x:c r="D60" s="50" t="n">
        <x:v>0.53</x:v>
      </x:c>
      <x:c r="E60" s="44" t="n">
        <x:v>92</x:v>
      </x:c>
      <x:c r="F60" s="44" t="str">
        <x:v>VERY COMPLEX</x:v>
      </x:c>
      <x:c r="G60" s="44" t="str">
        <x:v>BOUNDED REPAIR</x:v>
      </x:c>
      <x:c r="H60" s="44" t="n">
        <x:v>1</x:v>
      </x:c>
      <x:c r="I60" s="44" t="n">
        <x:v>2</x:v>
      </x:c>
      <x:c r="J60" s="44" t="str">
        <x:v>CB120-AMOU-AM-E04-5CBEBBD945</x:v>
      </x:c>
      <x:c r="K60" s="44" t="str">
        <x:v>5cbebbd94566bb353cfc4d8b304e04ab206f88d02fa9bd41f18e0983cfcb0e06</x:v>
      </x:c>
      <x:c r="L60" s="44" t="str">
        <x:v>COMMERCIAL-SIMILARITY COMPUTATIONAL CANDIDATE</x:v>
      </x:c>
      <x:c r="M60" s="44" t="str">
        <x:v>PENDING PHYSICAL SMELL TEST • ZERO EMPIRICAL SIMILARITY PASS</x:v>
      </x:c>
      <x:c r="N60" s="44" t="str">
        <x:v>High-concentration resin / leather / oud / sandalwood</x:v>
      </x:c>
    </x:row>
    <x:row r="61" ht="48" customHeight="1">
      <x:c r="A61" s="44" t="str">
        <x:v>AM-E05</x:v>
      </x:c>
      <x:c r="B61" s="44" t="str">
        <x:v>Amouage</x:v>
      </x:c>
      <x:c r="C61" s="44" t="str">
        <x:v>Jubilation XXV Man</x:v>
      </x:c>
      <x:c r="D61" s="50" t="n">
        <x:v>0.23</x:v>
      </x:c>
      <x:c r="E61" s="44" t="n">
        <x:v>95</x:v>
      </x:c>
      <x:c r="F61" s="44" t="str">
        <x:v>VERY COMPLEX</x:v>
      </x:c>
      <x:c r="G61" s="44" t="str">
        <x:v>CLEAN REBUILD</x:v>
      </x:c>
      <x:c r="H61" s="44" t="n">
        <x:v>6</x:v>
      </x:c>
      <x:c r="I61" s="44" t="n">
        <x:v>2</x:v>
      </x:c>
      <x:c r="J61" s="44" t="str">
        <x:v>CB120-AMOU-AM-E05-5F8B6E6472</x:v>
      </x:c>
      <x:c r="K61" s="44" t="str">
        <x:v>5f8b6e6472220e23442effa13939679e379e079b1434bd33413c8c04bb2f243e</x:v>
      </x:c>
      <x:c r="L61" s="44" t="str">
        <x:v>COMMERCIAL-SIMILARITY COMPUTATIONAL CANDIDATE</x:v>
      </x:c>
      <x:c r="M61" s="44" t="str">
        <x:v>PENDING PHYSICAL SMELL TEST • ZERO EMPIRICAL SIMILARITY PASS</x:v>
      </x:c>
      <x:c r="N61" s="44" t="str">
        <x:v>Black fruit / honey / florals / chypre resins / oud</x:v>
      </x:c>
    </x:row>
    <x:row r="62" ht="48" customHeight="1">
      <x:c r="A62" s="44" t="str">
        <x:v>AM-E06</x:v>
      </x:c>
      <x:c r="B62" s="44" t="str">
        <x:v>Amouage</x:v>
      </x:c>
      <x:c r="C62" s="44" t="str">
        <x:v>Jubilation 40 Man</x:v>
      </x:c>
      <x:c r="D62" s="50" t="n">
        <x:v>0.4</x:v>
      </x:c>
      <x:c r="E62" s="44" t="n">
        <x:v>95</x:v>
      </x:c>
      <x:c r="F62" s="44" t="str">
        <x:v>VERY COMPLEX</x:v>
      </x:c>
      <x:c r="G62" s="44" t="str">
        <x:v>CLEAN REBUILD</x:v>
      </x:c>
      <x:c r="H62" s="44" t="n">
        <x:v>1</x:v>
      </x:c>
      <x:c r="I62" s="44" t="n">
        <x:v>2</x:v>
      </x:c>
      <x:c r="J62" s="44" t="str">
        <x:v>CB120-AMOU-AM-E06-4FF49ED626</x:v>
      </x:c>
      <x:c r="K62" s="44" t="str">
        <x:v>4ff49ed6265adf7f38e72283cf77cfb5579f4f2851134268e18c50716b6d297e</x:v>
      </x:c>
      <x:c r="L62" s="44" t="str">
        <x:v>COMMERCIAL-SIMILARITY COMPUTATIONAL CANDIDATE</x:v>
      </x:c>
      <x:c r="M62" s="44" t="str">
        <x:v>PENDING PHYSICAL SMELL TEST • ZERO EMPIRICAL SIMILARITY PASS</x:v>
      </x:c>
      <x:c r="N62" s="44" t="str">
        <x:v>Blackcurrant / rosemary / cistus / moss / oud extrait</x:v>
      </x:c>
    </x:row>
    <x:row r="63" ht="48" customHeight="1">
      <x:c r="A63" s="44" t="str">
        <x:v>AM-E07</x:v>
      </x:c>
      <x:c r="B63" s="44" t="str">
        <x:v>Amouage</x:v>
      </x:c>
      <x:c r="C63" s="44" t="str">
        <x:v>Epic Man</x:v>
      </x:c>
      <x:c r="D63" s="50" t="n">
        <x:v>0.23</x:v>
      </x:c>
      <x:c r="E63" s="44" t="n">
        <x:v>88</x:v>
      </x:c>
      <x:c r="F63" s="44" t="str">
        <x:v>VERY COMPLEX</x:v>
      </x:c>
      <x:c r="G63" s="44" t="str">
        <x:v>CLEAN REBUILD</x:v>
      </x:c>
      <x:c r="H63" s="44" t="n">
        <x:v>2</x:v>
      </x:c>
      <x:c r="I63" s="44" t="n">
        <x:v>2</x:v>
      </x:c>
      <x:c r="J63" s="44" t="str">
        <x:v>CB120-AMOU-AM-E07-1F56955AF4</x:v>
      </x:c>
      <x:c r="K63" s="44" t="str">
        <x:v>1f56955af4c3d5f4eb41700b594c07f33b541a7dc8daefaabbd84b6aa38675f3</x:v>
      </x:c>
      <x:c r="L63" s="44" t="str">
        <x:v>COMMERCIAL-SIMILARITY COMPUTATIONAL CANDIDATE</x:v>
      </x:c>
      <x:c r="M63" s="44" t="str">
        <x:v>PENDING PHYSICAL SMELL TEST • ZERO EMPIRICAL SIMILARITY PASS</x:v>
      </x:c>
      <x:c r="N63" s="44" t="str">
        <x:v>Silk Road spice / myrrh / oud / leather / castoreum</x:v>
      </x:c>
    </x:row>
    <x:row r="64" ht="48" customHeight="1">
      <x:c r="A64" s="44" t="str">
        <x:v>AM-E08</x:v>
      </x:c>
      <x:c r="B64" s="44" t="str">
        <x:v>Amouage</x:v>
      </x:c>
      <x:c r="C64" s="44" t="str">
        <x:v>Memoir Man</x:v>
      </x:c>
      <x:c r="D64" s="50" t="n">
        <x:v>0.24</x:v>
      </x:c>
      <x:c r="E64" s="44" t="n">
        <x:v>88</x:v>
      </x:c>
      <x:c r="F64" s="44" t="str">
        <x:v>VERY COMPLEX</x:v>
      </x:c>
      <x:c r="G64" s="44" t="str">
        <x:v>CLEAN REBUILD</x:v>
      </x:c>
      <x:c r="H64" s="44" t="n">
        <x:v>2</x:v>
      </x:c>
      <x:c r="I64" s="44" t="n">
        <x:v>2</x:v>
      </x:c>
      <x:c r="J64" s="44" t="str">
        <x:v>CB120-AMOU-AM-E08-134C082C24</x:v>
      </x:c>
      <x:c r="K64" s="44" t="str">
        <x:v>134c082c24eb8e3c129633f42369343b64404bf80284b888e5df6d5817d3a51a</x:v>
      </x:c>
      <x:c r="L64" s="44" t="str">
        <x:v>COMMERCIAL-SIMILARITY COMPUTATIONAL CANDIDATE</x:v>
      </x:c>
      <x:c r="M64" s="44" t="str">
        <x:v>PENDING PHYSICAL SMELL TEST • ZERO EMPIRICAL SIMILARITY PASS</x:v>
      </x:c>
      <x:c r="N64" s="44" t="str">
        <x:v>Absinthe / wormwood / mint / tobacco / moss / leather</x:v>
      </x:c>
    </x:row>
    <x:row r="65" ht="48" customHeight="1">
      <x:c r="A65" s="44" t="str">
        <x:v>AM-E09</x:v>
      </x:c>
      <x:c r="B65" s="44" t="str">
        <x:v>Amouage</x:v>
      </x:c>
      <x:c r="C65" s="44" t="str">
        <x:v>Reflection Man</x:v>
      </x:c>
      <x:c r="D65" s="50" t="n">
        <x:v>0.25</x:v>
      </x:c>
      <x:c r="E65" s="44" t="n">
        <x:v>80</x:v>
      </x:c>
      <x:c r="F65" s="44" t="str">
        <x:v>VERY COMPLEX</x:v>
      </x:c>
      <x:c r="G65" s="44" t="str">
        <x:v>BOUNDED REPAIR</x:v>
      </x:c>
      <x:c r="H65" s="44" t="n">
        <x:v>0</x:v>
      </x:c>
      <x:c r="I65" s="44" t="n">
        <x:v>0</x:v>
      </x:c>
      <x:c r="J65" s="44" t="str">
        <x:v>CB120-AMOU-AM-E09-9ABC063202</x:v>
      </x:c>
      <x:c r="K65" s="44" t="str">
        <x:v>9abc063202d37912ef8d3494ab0438a22592ce98d637e3651c49c30b03f2f039</x:v>
      </x:c>
      <x:c r="L65" s="44" t="str">
        <x:v>COMMERCIAL-SIMILARITY COMPUTATIONAL CANDIDATE</x:v>
      </x:c>
      <x:c r="M65" s="44" t="str">
        <x:v>PENDING PHYSICAL SMELL TEST • ZERO EMPIRICAL SIMILARITY PASS</x:v>
      </x:c>
      <x:c r="N65" s="44" t="str">
        <x:v>Rosemary / neroli / jasmine / orris / sandalwood</x:v>
      </x:c>
    </x:row>
    <x:row r="66" ht="48" customHeight="1">
      <x:c r="A66" s="44" t="str">
        <x:v>AM-E10</x:v>
      </x:c>
      <x:c r="B66" s="44" t="str">
        <x:v>Amouage</x:v>
      </x:c>
      <x:c r="C66" s="44" t="str">
        <x:v>Reflection 45 Man</x:v>
      </x:c>
      <x:c r="D66" s="50" t="n">
        <x:v>0.45</x:v>
      </x:c>
      <x:c r="E66" s="44" t="n">
        <x:v>85</x:v>
      </x:c>
      <x:c r="F66" s="44" t="str">
        <x:v>VERY COMPLEX</x:v>
      </x:c>
      <x:c r="G66" s="44" t="str">
        <x:v>BOUNDED REPAIR</x:v>
      </x:c>
      <x:c r="H66" s="44" t="n">
        <x:v>1</x:v>
      </x:c>
      <x:c r="I66" s="44" t="n">
        <x:v>2</x:v>
      </x:c>
      <x:c r="J66" s="44" t="str">
        <x:v>CB120-AMOU-AM-E10-D3737E675D</x:v>
      </x:c>
      <x:c r="K66" s="44" t="str">
        <x:v>d3737e675d88a2a859715a1397df46d84b25dc6939fdf5488b0f17822cb2fe7d</x:v>
      </x:c>
      <x:c r="L66" s="44" t="str">
        <x:v>COMMERCIAL-SIMILARITY COMPUTATIONAL CANDIDATE</x:v>
      </x:c>
      <x:c r="M66" s="44" t="str">
        <x:v>PENDING PHYSICAL SMELL TEST • ZERO EMPIRICAL SIMILARITY PASS</x:v>
      </x:c>
      <x:c r="N66" s="44" t="str">
        <x:v>Benzoin / lavender / orris / sandalwood / myrrh extrait</x:v>
      </x:c>
    </x:row>
    <x:row r="67" ht="48" customHeight="1">
      <x:c r="A67" s="44" t="str">
        <x:v>AM-E11</x:v>
      </x:c>
      <x:c r="B67" s="44" t="str">
        <x:v>Amouage</x:v>
      </x:c>
      <x:c r="C67" s="44" t="str">
        <x:v>Enclave</x:v>
      </x:c>
      <x:c r="D67" s="50" t="n">
        <x:v>0.25</x:v>
      </x:c>
      <x:c r="E67" s="44" t="n">
        <x:v>80</x:v>
      </x:c>
      <x:c r="F67" s="44" t="str">
        <x:v>VERY COMPLEX</x:v>
      </x:c>
      <x:c r="G67" s="44" t="str">
        <x:v>BOUNDED REPAIR</x:v>
      </x:c>
      <x:c r="H67" s="44" t="n">
        <x:v>1</x:v>
      </x:c>
      <x:c r="I67" s="44" t="n">
        <x:v>2</x:v>
      </x:c>
      <x:c r="J67" s="44" t="str">
        <x:v>CB120-AMOU-AM-E11-84F4C3B6D0</x:v>
      </x:c>
      <x:c r="K67" s="44" t="str">
        <x:v>84f4c3b6d0eb8c34f97a5e4914cf11751b0fec1fab610ad445355c99291a67dd</x:v>
      </x:c>
      <x:c r="L67" s="44" t="str">
        <x:v>COMMERCIAL-SIMILARITY COMPUTATIONAL CANDIDATE</x:v>
      </x:c>
      <x:c r="M67" s="44" t="str">
        <x:v>PENDING PHYSICAL SMELL TEST • ZERO EMPIRICAL SIMILARITY PASS</x:v>
      </x:c>
      <x:c r="N67" s="44" t="str">
        <x:v>Spearmint / cardamom / rose / olibanum / Saffiano amber</x:v>
      </x:c>
    </x:row>
    <x:row r="68" ht="48" customHeight="1">
      <x:c r="A68" s="44" t="str">
        <x:v>AM-E12</x:v>
      </x:c>
      <x:c r="B68" s="44" t="str">
        <x:v>Amouage</x:v>
      </x:c>
      <x:c r="C68" s="44" t="str">
        <x:v>Boundless</x:v>
      </x:c>
      <x:c r="D68" s="50" t="n">
        <x:v>0.25</x:v>
      </x:c>
      <x:c r="E68" s="44" t="n">
        <x:v>85</x:v>
      </x:c>
      <x:c r="F68" s="44" t="str">
        <x:v>VERY COMPLEX</x:v>
      </x:c>
      <x:c r="G68" s="44" t="str">
        <x:v>BOUNDED REPAIR</x:v>
      </x:c>
      <x:c r="H68" s="44" t="n">
        <x:v>3</x:v>
      </x:c>
      <x:c r="I68" s="44" t="n">
        <x:v>2</x:v>
      </x:c>
      <x:c r="J68" s="44" t="str">
        <x:v>CB120-AMOU-AM-E12-4F0579C0FF</x:v>
      </x:c>
      <x:c r="K68" s="44" t="str">
        <x:v>4f0579c0fffdf9147f5da6f09beef2f8d0f7761772b74f3e1eb21fffc24a3657</x:v>
      </x:c>
      <x:c r="L68" s="44" t="str">
        <x:v>COMMERCIAL-SIMILARITY COMPUTATIONAL CANDIDATE</x:v>
      </x:c>
      <x:c r="M68" s="44" t="str">
        <x:v>PENDING PHYSICAL SMELL TEST • ZERO EMPIRICAL SIMILARITY PASS</x:v>
      </x:c>
      <x:c r="N68" s="44" t="str">
        <x:v>Blood orange / ginger / vanilla / cacao / tobacco / papyrus</x:v>
      </x:c>
    </x:row>
    <x:row r="69" ht="48" customHeight="1">
      <x:c r="A69" s="44" t="str">
        <x:v>AM-E13</x:v>
      </x:c>
      <x:c r="B69" s="44" t="str">
        <x:v>Amouage</x:v>
      </x:c>
      <x:c r="C69" s="44" t="str">
        <x:v>Opus XIV Royal Tobacco</x:v>
      </x:c>
      <x:c r="D69" s="50" t="n">
        <x:v>0.25</x:v>
      </x:c>
      <x:c r="E69" s="44" t="n">
        <x:v>90</x:v>
      </x:c>
      <x:c r="F69" s="44" t="str">
        <x:v>VERY COMPLEX</x:v>
      </x:c>
      <x:c r="G69" s="44" t="str">
        <x:v>BOUNDED REPAIR</x:v>
      </x:c>
      <x:c r="H69" s="44" t="n">
        <x:v>2</x:v>
      </x:c>
      <x:c r="I69" s="44" t="n">
        <x:v>2</x:v>
      </x:c>
      <x:c r="J69" s="44" t="str">
        <x:v>CB120-AMOU-AM-E13-28350BDD8C</x:v>
      </x:c>
      <x:c r="K69" s="44" t="str">
        <x:v>28350bdd8c059acac49b611551dab5c2334bde7f12f8015ffd3d11ebedf5161c</x:v>
      </x:c>
      <x:c r="L69" s="44" t="str">
        <x:v>COMMERCIAL-SIMILARITY COMPUTATIONAL CANDIDATE</x:v>
      </x:c>
      <x:c r="M69" s="44" t="str">
        <x:v>PENDING PHYSICAL SMELL TEST • ZERO EMPIRICAL SIMILARITY PASS</x:v>
      </x:c>
      <x:c r="N69" s="44" t="str">
        <x:v>Tobacco / liquorice / prunol / resins / oud / musks</x:v>
      </x:c>
    </x:row>
    <x:row r="70" ht="48" customHeight="1">
      <x:c r="A70" s="44" t="str">
        <x:v>AM-E14</x:v>
      </x:c>
      <x:c r="B70" s="44" t="str">
        <x:v>Amouage</x:v>
      </x:c>
      <x:c r="C70" s="44" t="str">
        <x:v>Purpose</x:v>
      </x:c>
      <x:c r="D70" s="50" t="n">
        <x:v>0.2</x:v>
      </x:c>
      <x:c r="E70" s="44" t="n">
        <x:v>80</x:v>
      </x:c>
      <x:c r="F70" s="44" t="str">
        <x:v>VERY COMPLEX</x:v>
      </x:c>
      <x:c r="G70" s="44" t="str">
        <x:v>BOUNDED REPAIR</x:v>
      </x:c>
      <x:c r="H70" s="44" t="n">
        <x:v>0</x:v>
      </x:c>
      <x:c r="I70" s="44" t="n">
        <x:v>2</x:v>
      </x:c>
      <x:c r="J70" s="44" t="str">
        <x:v>CB120-AMOU-AM-E14-CE22924EC4</x:v>
      </x:c>
      <x:c r="K70" s="44" t="str">
        <x:v>ce22924ec4c277877ac6991812e98a1f7062296bc5cea33898799622d67a0ba2</x:v>
      </x:c>
      <x:c r="L70" s="44" t="str">
        <x:v>COMMERCIAL-SIMILARITY COMPUTATIONAL CANDIDATE</x:v>
      </x:c>
      <x:c r="M70" s="44" t="str">
        <x:v>PENDING PHYSICAL SMELL TEST • ZERO EMPIRICAL SIMILARITY PASS</x:v>
      </x:c>
      <x:c r="N70" s="44" t="str">
        <x:v>Frankincense / rose / sand vetiver / suede / modern woods</x:v>
      </x:c>
    </x:row>
    <x:row r="71" ht="48" customHeight="1">
      <x:c r="A71" s="44" t="str">
        <x:v>AM-E15</x:v>
      </x:c>
      <x:c r="B71" s="44" t="str">
        <x:v>Amouage</x:v>
      </x:c>
      <x:c r="C71" s="44" t="str">
        <x:v>Purpose 50</x:v>
      </x:c>
      <x:c r="D71" s="50" t="n">
        <x:v>0.5</x:v>
      </x:c>
      <x:c r="E71" s="44" t="n">
        <x:v>82</x:v>
      </x:c>
      <x:c r="F71" s="44" t="str">
        <x:v>VERY COMPLEX</x:v>
      </x:c>
      <x:c r="G71" s="44" t="str">
        <x:v>BOUNDED REPAIR</x:v>
      </x:c>
      <x:c r="H71" s="44" t="n">
        <x:v>0</x:v>
      </x:c>
      <x:c r="I71" s="44" t="n">
        <x:v>2</x:v>
      </x:c>
      <x:c r="J71" s="44" t="str">
        <x:v>CB120-AMOU-AM-E15-4A2AF615E0</x:v>
      </x:c>
      <x:c r="K71" s="44" t="str">
        <x:v>4a2af615e09d454b1958b08d8fbf3c868dab204b6714e382c6bd30db499d5a16</x:v>
      </x:c>
      <x:c r="L71" s="44" t="str">
        <x:v>COMMERCIAL-SIMILARITY COMPUTATIONAL CANDIDATE</x:v>
      </x:c>
      <x:c r="M71" s="44" t="str">
        <x:v>PENDING PHYSICAL SMELL TEST • ZERO EMPIRICAL SIMILARITY PASS</x:v>
      </x:c>
      <x:c r="N71" s="44" t="str">
        <x:v>High-concentration frankincense / vetiver / suede / sandalwood / vanilla</x:v>
      </x:c>
    </x:row>
    <x:row r="72" ht="48" customHeight="1">
      <x:c r="A72" s="44" t="str">
        <x:v>AM-E16</x:v>
      </x:c>
      <x:c r="B72" s="44" t="str">
        <x:v>Amouage</x:v>
      </x:c>
      <x:c r="C72" s="44" t="str">
        <x:v>Search</x:v>
      </x:c>
      <x:c r="D72" s="50" t="n">
        <x:v>0.25</x:v>
      </x:c>
      <x:c r="E72" s="44" t="n">
        <x:v>70</x:v>
      </x:c>
      <x:c r="F72" s="44" t="str">
        <x:v>VERY COMPLEX</x:v>
      </x:c>
      <x:c r="G72" s="44" t="str">
        <x:v>BOUNDED REPAIR</x:v>
      </x:c>
      <x:c r="H72" s="44" t="n">
        <x:v>0</x:v>
      </x:c>
      <x:c r="I72" s="44" t="n">
        <x:v>2</x:v>
      </x:c>
      <x:c r="J72" s="44" t="str">
        <x:v>CB120-AMOU-AM-E16-E4A1A1319F</x:v>
      </x:c>
      <x:c r="K72" s="44" t="str">
        <x:v>e4a1a1319fd06b7fcc24e1593329e0484c881ca9a3f3b0be021ee253772e63ae</x:v>
      </x:c>
      <x:c r="L72" s="44" t="str">
        <x:v>COMMERCIAL-SIMILARITY COMPUTATIONAL CANDIDATE</x:v>
      </x:c>
      <x:c r="M72" s="44" t="str">
        <x:v>PENDING PHYSICAL SMELL TEST • ZERO EMPIRICAL SIMILARITY PASS</x:v>
      </x:c>
      <x:c r="N72" s="44" t="str">
        <x:v>Lemon / lime / Hojari frankincense / cade / vetiver</x:v>
      </x:c>
    </x:row>
    <x:row r="73" ht="48" customHeight="1">
      <x:c r="A73" s="44" t="str">
        <x:v>AM-L01</x:v>
      </x:c>
      <x:c r="B73" s="44" t="str">
        <x:v>Amouage</x:v>
      </x:c>
      <x:c r="C73" s="44" t="str">
        <x:v>Bracken Man</x:v>
      </x:c>
      <x:c r="D73" s="50" t="n">
        <x:v>0.25</x:v>
      </x:c>
      <x:c r="E73" s="44" t="n">
        <x:v>80</x:v>
      </x:c>
      <x:c r="F73" s="44" t="str">
        <x:v>VERY COMPLEX</x:v>
      </x:c>
      <x:c r="G73" s="44" t="str">
        <x:v>BOUNDED REPAIR</x:v>
      </x:c>
      <x:c r="H73" s="44" t="n">
        <x:v>0</x:v>
      </x:c>
      <x:c r="I73" s="44" t="n">
        <x:v>0</x:v>
      </x:c>
      <x:c r="J73" s="44" t="str">
        <x:v>CB120-AMOU-AM-L01-1EAFECFB56</x:v>
      </x:c>
      <x:c r="K73" s="44" t="str">
        <x:v>1eafecfb56b1ca366f3c95f871c0d9008c36567c51784f14811c48a5f161d189</x:v>
      </x:c>
      <x:c r="L73" s="44" t="str">
        <x:v>COMMERCIAL-SIMILARITY COMPUTATIONAL CANDIDATE</x:v>
      </x:c>
      <x:c r="M73" s="44" t="str">
        <x:v>PENDING PHYSICAL SMELL TEST • ZERO EMPIRICAL SIMILARITY PASS</x:v>
      </x:c>
      <x:c r="N73" s="44" t="str">
        <x:v>Green fougère / cloves / geranium / patchouli</x:v>
      </x:c>
    </x:row>
    <x:row r="74" ht="48" customHeight="1">
      <x:c r="A74" s="44" t="str">
        <x:v>AM-L02</x:v>
      </x:c>
      <x:c r="B74" s="44" t="str">
        <x:v>Amouage</x:v>
      </x:c>
      <x:c r="C74" s="44" t="str">
        <x:v>Sunshine Man</x:v>
      </x:c>
      <x:c r="D74" s="50" t="n">
        <x:v>0.25</x:v>
      </x:c>
      <x:c r="E74" s="44" t="n">
        <x:v>85</x:v>
      </x:c>
      <x:c r="F74" s="44" t="str">
        <x:v>VERY COMPLEX</x:v>
      </x:c>
      <x:c r="G74" s="44" t="str">
        <x:v>BOUNDED REPAIR</x:v>
      </x:c>
      <x:c r="H74" s="44" t="n">
        <x:v>0</x:v>
      </x:c>
      <x:c r="I74" s="44" t="n">
        <x:v>1</x:v>
      </x:c>
      <x:c r="J74" s="44" t="str">
        <x:v>CB120-AMOU-AM-L02-66EEEB56BA</x:v>
      </x:c>
      <x:c r="K74" s="44" t="str">
        <x:v>66eeeb56ba118ed9ce683ef6cf91f5969a33a84a7ec33dec129f878193bf6680</x:v>
      </x:c>
      <x:c r="L74" s="44" t="str">
        <x:v>COMMERCIAL-SIMILARITY COMPUTATIONAL CANDIDATE</x:v>
      </x:c>
      <x:c r="M74" s="44" t="str">
        <x:v>PENDING PHYSICAL SMELL TEST • ZERO EMPIRICAL SIMILARITY PASS</x:v>
      </x:c>
      <x:c r="N74" s="44" t="str">
        <x:v>Lavender / orange brandy / immortelle / vanilla / cedar</x:v>
      </x:c>
    </x:row>
    <x:row r="75" ht="48" customHeight="1">
      <x:c r="A75" s="44" t="str">
        <x:v>AM-L03</x:v>
      </x:c>
      <x:c r="B75" s="44" t="str">
        <x:v>Amouage</x:v>
      </x:c>
      <x:c r="C75" s="44" t="str">
        <x:v>Myths Man</x:v>
      </x:c>
      <x:c r="D75" s="50" t="n">
        <x:v>0.25</x:v>
      </x:c>
      <x:c r="E75" s="44" t="n">
        <x:v>85</x:v>
      </x:c>
      <x:c r="F75" s="44" t="str">
        <x:v>VERY COMPLEX</x:v>
      </x:c>
      <x:c r="G75" s="44" t="str">
        <x:v>CLEAN REBUILD</x:v>
      </x:c>
      <x:c r="H75" s="44" t="n">
        <x:v>1</x:v>
      </x:c>
      <x:c r="I75" s="44" t="n">
        <x:v>2</x:v>
      </x:c>
      <x:c r="J75" s="44" t="str">
        <x:v>CB120-AMOU-AM-L03-661ACC47DD</x:v>
      </x:c>
      <x:c r="K75" s="44" t="str">
        <x:v>661acc47dd344cef19057931d1177340ba9eb17a40ed971eec741f944024121d</x:v>
      </x:c>
      <x:c r="L75" s="44" t="str">
        <x:v>COMMERCIAL-SIMILARITY COMPUTATIONAL CANDIDATE</x:v>
      </x:c>
      <x:c r="M75" s="44" t="str">
        <x:v>PENDING PHYSICAL SMELL TEST • ZERO EMPIRICAL SIMILARITY PASS</x:v>
      </x:c>
      <x:c r="N75" s="44" t="str">
        <x:v>Smoky green / chrysanthemum / animalic resins</x:v>
      </x:c>
    </x:row>
    <x:row r="76" ht="48" customHeight="1">
      <x:c r="A76" s="44" t="str">
        <x:v>AM-L04</x:v>
      </x:c>
      <x:c r="B76" s="44" t="str">
        <x:v>Amouage</x:v>
      </x:c>
      <x:c r="C76" s="44" t="str">
        <x:v>Imitation Man</x:v>
      </x:c>
      <x:c r="D76" s="50" t="n">
        <x:v>0.25</x:v>
      </x:c>
      <x:c r="E76" s="44" t="n">
        <x:v>95</x:v>
      </x:c>
      <x:c r="F76" s="44" t="str">
        <x:v>VERY COMPLEX</x:v>
      </x:c>
      <x:c r="G76" s="44" t="str">
        <x:v>BOUNDED REPAIR</x:v>
      </x:c>
      <x:c r="H76" s="44" t="n">
        <x:v>0</x:v>
      </x:c>
      <x:c r="I76" s="44" t="n">
        <x:v>2</x:v>
      </x:c>
      <x:c r="J76" s="44" t="str">
        <x:v>CB120-AMOU-AM-L04-6B69B61027</x:v>
      </x:c>
      <x:c r="K76" s="44" t="str">
        <x:v>6b69b610274ca88576c77ea99ba8f37bcacf3e2a802631ab95dc8d1b22903628</x:v>
      </x:c>
      <x:c r="L76" s="44" t="str">
        <x:v>COMMERCIAL-SIMILARITY COMPUTATIONAL CANDIDATE</x:v>
      </x:c>
      <x:c r="M76" s="44" t="str">
        <x:v>PENDING PHYSICAL SMELL TEST • ZERO EMPIRICAL SIMILARITY PASS</x:v>
      </x:c>
      <x:c r="N76" s="44" t="str">
        <x:v>Blackcurrant / rose / leather / patchouli / incense</x:v>
      </x:c>
    </x:row>
    <x:row r="77" ht="48" customHeight="1">
      <x:c r="A77" s="44" t="str">
        <x:v>AM-L05</x:v>
      </x:c>
      <x:c r="B77" s="44" t="str">
        <x:v>Amouage</x:v>
      </x:c>
      <x:c r="C77" s="44" t="str">
        <x:v>Figment Man</x:v>
      </x:c>
      <x:c r="D77" s="50" t="n">
        <x:v>0.25</x:v>
      </x:c>
      <x:c r="E77" s="44" t="n">
        <x:v>80</x:v>
      </x:c>
      <x:c r="F77" s="44" t="str">
        <x:v>VERY COMPLEX</x:v>
      </x:c>
      <x:c r="G77" s="44" t="str">
        <x:v>CLEAN REBUILD</x:v>
      </x:c>
      <x:c r="H77" s="44" t="n">
        <x:v>2</x:v>
      </x:c>
      <x:c r="I77" s="44" t="n">
        <x:v>2</x:v>
      </x:c>
      <x:c r="J77" s="44" t="str">
        <x:v>CB120-AMOU-AM-L05-E88911FFFB</x:v>
      </x:c>
      <x:c r="K77" s="44" t="str">
        <x:v>e88911fffbd2fb273b960ef6af3134fe3029bc384e76faa7590e79d862aa6c40</x:v>
      </x:c>
      <x:c r="L77" s="44" t="str">
        <x:v>COMMERCIAL-SIMILARITY COMPUTATIONAL CANDIDATE</x:v>
      </x:c>
      <x:c r="M77" s="44" t="str">
        <x:v>PENDING PHYSICAL SMELL TEST • ZERO EMPIRICAL SIMILARITY PASS</x:v>
      </x:c>
      <x:c r="N77" s="44" t="str">
        <x:v>Earth / animalic / green / incense</x:v>
      </x:c>
    </x:row>
    <x:row r="78" ht="48" customHeight="1">
      <x:c r="A78" s="44" t="str">
        <x:v>AM-L06</x:v>
      </x:c>
      <x:c r="B78" s="44" t="str">
        <x:v>Amouage</x:v>
      </x:c>
      <x:c r="C78" s="44" t="str">
        <x:v>Fate Man</x:v>
      </x:c>
      <x:c r="D78" s="50" t="n">
        <x:v>0.25</x:v>
      </x:c>
      <x:c r="E78" s="44" t="n">
        <x:v>85</x:v>
      </x:c>
      <x:c r="F78" s="44" t="str">
        <x:v>VERY COMPLEX</x:v>
      </x:c>
      <x:c r="G78" s="44" t="str">
        <x:v>BOUNDED REPAIR</x:v>
      </x:c>
      <x:c r="H78" s="44" t="n">
        <x:v>0</x:v>
      </x:c>
      <x:c r="I78" s="44" t="n">
        <x:v>2</x:v>
      </x:c>
      <x:c r="J78" s="44" t="str">
        <x:v>CB120-AMOU-AM-L06-3908CA7CC7</x:v>
      </x:c>
      <x:c r="K78" s="44" t="str">
        <x:v>3908ca7cc7eeac9a94ed4b6bca94072683fb477b700fc41c03bbb56b7cc20660</x:v>
      </x:c>
      <x:c r="L78" s="44" t="str">
        <x:v>COMMERCIAL-SIMILARITY COMPUTATIONAL CANDIDATE</x:v>
      </x:c>
      <x:c r="M78" s="44" t="str">
        <x:v>PENDING PHYSICAL SMELL TEST • ZERO EMPIRICAL SIMILARITY PASS</x:v>
      </x:c>
      <x:c r="N78" s="44" t="str">
        <x:v>Spice / immortelle / incense / leather / woods</x:v>
      </x:c>
    </x:row>
    <x:row r="79" ht="48" customHeight="1">
      <x:c r="A79" s="44" t="str">
        <x:v>AM-L07</x:v>
      </x:c>
      <x:c r="B79" s="44" t="str">
        <x:v>Amouage</x:v>
      </x:c>
      <x:c r="C79" s="44" t="str">
        <x:v>Portrayal Man</x:v>
      </x:c>
      <x:c r="D79" s="50" t="n">
        <x:v>0.25</x:v>
      </x:c>
      <x:c r="E79" s="44" t="n">
        <x:v>82</x:v>
      </x:c>
      <x:c r="F79" s="44" t="str">
        <x:v>VERY COMPLEX</x:v>
      </x:c>
      <x:c r="G79" s="44" t="str">
        <x:v>PRESERVE CANDIDATE</x:v>
      </x:c>
      <x:c r="H79" s="44" t="n">
        <x:v>0</x:v>
      </x:c>
      <x:c r="I79" s="44" t="n">
        <x:v>1</x:v>
      </x:c>
      <x:c r="J79" s="44" t="str">
        <x:v>CB120-AMOU-AM-L07-CCC3FB9D93</x:v>
      </x:c>
      <x:c r="K79" s="44" t="str">
        <x:v>ccc3fb9d93ba55e8acd9d37dd23448877eec7f91351a5dc15839be8352af9dae</x:v>
      </x:c>
      <x:c r="L79" s="44" t="str">
        <x:v>COMMERCIAL-SIMILARITY COMPUTATIONAL CANDIDATE</x:v>
      </x:c>
      <x:c r="M79" s="44" t="str">
        <x:v>PENDING PHYSICAL SMELL TEST • ZERO EMPIRICAL SIMILARITY PASS</x:v>
      </x:c>
      <x:c r="N79" s="44" t="str">
        <x:v>Violet leaf / vetiver / tobacco / leather</x:v>
      </x:c>
    </x:row>
    <x:row r="80" ht="48" customHeight="1">
      <x:c r="A80" s="44" t="str">
        <x:v>AM-L08</x:v>
      </x:c>
      <x:c r="B80" s="44" t="str">
        <x:v>Amouage</x:v>
      </x:c>
      <x:c r="C80" s="44" t="str">
        <x:v>Opus IX</x:v>
      </x:c>
      <x:c r="D80" s="50" t="n">
        <x:v>0.25</x:v>
      </x:c>
      <x:c r="E80" s="44" t="n">
        <x:v>95</x:v>
      </x:c>
      <x:c r="F80" s="44" t="str">
        <x:v>VERY COMPLEX</x:v>
      </x:c>
      <x:c r="G80" s="44" t="str">
        <x:v>BOUNDED REPAIR</x:v>
      </x:c>
      <x:c r="H80" s="44" t="n">
        <x:v>1</x:v>
      </x:c>
      <x:c r="I80" s="44" t="n">
        <x:v>2</x:v>
      </x:c>
      <x:c r="J80" s="44" t="str">
        <x:v>CB120-AMOU-AM-L08-614DE4A731</x:v>
      </x:c>
      <x:c r="K80" s="44" t="str">
        <x:v>614de4a7311792ec36dd8e059314730e3c512705bf5802a824b8000e8f8f3776</x:v>
      </x:c>
      <x:c r="L80" s="44" t="str">
        <x:v>COMMERCIAL-SIMILARITY COMPUTATIONAL CANDIDATE</x:v>
      </x:c>
      <x:c r="M80" s="44" t="str">
        <x:v>PENDING PHYSICAL SMELL TEST • ZERO EMPIRICAL SIMILARITY PASS</x:v>
      </x:c>
      <x:c r="N80" s="44" t="str">
        <x:v>Camellia / black pepper / jasmine / civet / leather</x:v>
      </x:c>
    </x:row>
    <x:row r="81" ht="48" customHeight="1">
      <x:c r="A81" s="44" t="str">
        <x:v>AM-L09</x:v>
      </x:c>
      <x:c r="B81" s="44" t="str">
        <x:v>Amouage</x:v>
      </x:c>
      <x:c r="C81" s="44" t="str">
        <x:v>Opus XI</x:v>
      </x:c>
      <x:c r="D81" s="50" t="n">
        <x:v>0.25</x:v>
      </x:c>
      <x:c r="E81" s="44" t="n">
        <x:v>88</x:v>
      </x:c>
      <x:c r="F81" s="44" t="str">
        <x:v>VERY COMPLEX</x:v>
      </x:c>
      <x:c r="G81" s="44" t="str">
        <x:v>CLEAN REBUILD</x:v>
      </x:c>
      <x:c r="H81" s="44" t="n">
        <x:v>2</x:v>
      </x:c>
      <x:c r="I81" s="44" t="n">
        <x:v>2</x:v>
      </x:c>
      <x:c r="J81" s="44" t="str">
        <x:v>CB120-AMOU-AM-L09-D95F3C481D</x:v>
      </x:c>
      <x:c r="K81" s="44" t="str">
        <x:v>d95f3c481d3b0956b070ca4ad3a68d35954cd70cfe5f0602ea19f94bbd4373a9</x:v>
      </x:c>
      <x:c r="L81" s="44" t="str">
        <x:v>COMMERCIAL-SIMILARITY COMPUTATIONAL CANDIDATE</x:v>
      </x:c>
      <x:c r="M81" s="44" t="str">
        <x:v>PENDING PHYSICAL SMELL TEST • ZERO EMPIRICAL SIMILARITY PASS</x:v>
      </x:c>
      <x:c r="N81" s="44" t="str">
        <x:v>Marjoram / oud / styrax / leathered resins</x:v>
      </x:c>
    </x:row>
    <x:row r="82" ht="48" customHeight="1">
      <x:c r="A82" s="44" t="str">
        <x:v>AM-N01</x:v>
      </x:c>
      <x:c r="B82" s="44" t="str">
        <x:v>Amouage</x:v>
      </x:c>
      <x:c r="C82" s="44" t="str">
        <x:v>Interlude Black Iris Man</x:v>
      </x:c>
      <x:c r="D82" s="50" t="n">
        <x:v>0.25</x:v>
      </x:c>
      <x:c r="E82" s="44" t="n">
        <x:v>90</x:v>
      </x:c>
      <x:c r="F82" s="44" t="str">
        <x:v>VERY COMPLEX</x:v>
      </x:c>
      <x:c r="G82" s="44" t="str">
        <x:v>PRESERVE CANDIDATE</x:v>
      </x:c>
      <x:c r="H82" s="44" t="n">
        <x:v>1</x:v>
      </x:c>
      <x:c r="I82" s="44" t="n">
        <x:v>2</x:v>
      </x:c>
      <x:c r="J82" s="44" t="str">
        <x:v>CB120-AMOU-AM-N01-D3A21CCE16</x:v>
      </x:c>
      <x:c r="K82" s="44" t="str">
        <x:v>d3a21cce16b9ccbbb5813f425d324bd94b930c3a880c1f1954ef6686aff8dc1c</x:v>
      </x:c>
      <x:c r="L82" s="44" t="str">
        <x:v>COMMERCIAL-SIMILARITY COMPUTATIONAL CANDIDATE</x:v>
      </x:c>
      <x:c r="M82" s="44" t="str">
        <x:v>PENDING PHYSICAL SMELL TEST • ZERO EMPIRICAL SIMILARITY PASS</x:v>
      </x:c>
      <x:c r="N82" s="44" t="str">
        <x:v>Orris / violet leaf / resins / leather / oud</x:v>
      </x:c>
    </x:row>
    <x:row r="83" ht="48" customHeight="1">
      <x:c r="A83" s="44" t="str">
        <x:v>AM-N02</x:v>
      </x:c>
      <x:c r="B83" s="44" t="str">
        <x:v>Amouage</x:v>
      </x:c>
      <x:c r="C83" s="44" t="str">
        <x:v>Beach Hut Man</x:v>
      </x:c>
      <x:c r="D83" s="50" t="n">
        <x:v>0.3</x:v>
      </x:c>
      <x:c r="E83" s="44" t="n">
        <x:v>80</x:v>
      </x:c>
      <x:c r="F83" s="44" t="str">
        <x:v>VERY COMPLEX</x:v>
      </x:c>
      <x:c r="G83" s="44" t="str">
        <x:v>CLEAN REBUILD</x:v>
      </x:c>
      <x:c r="H83" s="44" t="n">
        <x:v>2</x:v>
      </x:c>
      <x:c r="I83" s="44" t="n">
        <x:v>2</x:v>
      </x:c>
      <x:c r="J83" s="44" t="str">
        <x:v>CB120-AMOU-AM-N02-41BC79C09E</x:v>
      </x:c>
      <x:c r="K83" s="44" t="str">
        <x:v>41bc79c09e07b939cd55613c6ebe2026aa2d39362e418e1dd161aa52d2aee2a6</x:v>
      </x:c>
      <x:c r="L83" s="44" t="str">
        <x:v>COMMERCIAL-SIMILARITY COMPUTATIONAL CANDIDATE</x:v>
      </x:c>
      <x:c r="M83" s="44" t="str">
        <x:v>PENDING PHYSICAL SMELL TEST • ZERO EMPIRICAL SIMILARITY PASS</x:v>
      </x:c>
      <x:c r="N83" s="44" t="str">
        <x:v>Mint / galbanum / ivy / vetiver / moss / myrrh</x:v>
      </x:c>
    </x:row>
    <x:row r="84" ht="48" customHeight="1">
      <x:c r="A84" s="44" t="str">
        <x:v>AM-N03</x:v>
      </x:c>
      <x:c r="B84" s="44" t="str">
        <x:v>Amouage</x:v>
      </x:c>
      <x:c r="C84" s="44" t="str">
        <x:v>Journey Man</x:v>
      </x:c>
      <x:c r="D84" s="50" t="n">
        <x:v>0.2</x:v>
      </x:c>
      <x:c r="E84" s="44" t="n">
        <x:v>85</x:v>
      </x:c>
      <x:c r="F84" s="44" t="str">
        <x:v>VERY COMPLEX</x:v>
      </x:c>
      <x:c r="G84" s="44" t="str">
        <x:v>CLEAN REBUILD</x:v>
      </x:c>
      <x:c r="H84" s="44" t="n">
        <x:v>3</x:v>
      </x:c>
      <x:c r="I84" s="44" t="n">
        <x:v>1</x:v>
      </x:c>
      <x:c r="J84" s="44" t="str">
        <x:v>CB120-AMOU-AM-N03-633673AC01</x:v>
      </x:c>
      <x:c r="K84" s="44" t="str">
        <x:v>633673ac010dde54adc236c5835cc21afa6ebdc6a977c3192f52cbe5a7fcbbd6</x:v>
      </x:c>
      <x:c r="L84" s="44" t="str">
        <x:v>COMMERCIAL-SIMILARITY COMPUTATIONAL CANDIDATE</x:v>
      </x:c>
      <x:c r="M84" s="44" t="str">
        <x:v>PENDING PHYSICAL SMELL TEST • ZERO EMPIRICAL SIMILARITY PASS</x:v>
      </x:c>
      <x:c r="N84" s="44" t="str">
        <x:v>Sichuan pepper / juniper / tobacco / leather / cypriol</x:v>
      </x:c>
    </x:row>
    <x:row r="85" ht="48" customHeight="1">
      <x:c r="A85" s="44" t="str">
        <x:v>AM-N04</x:v>
      </x:c>
      <x:c r="B85" s="44" t="str">
        <x:v>Amouage</x:v>
      </x:c>
      <x:c r="C85" s="44" t="str">
        <x:v>Lyric Man</x:v>
      </x:c>
      <x:c r="D85" s="50" t="n">
        <x:v>0.25</x:v>
      </x:c>
      <x:c r="E85" s="44" t="n">
        <x:v>85</x:v>
      </x:c>
      <x:c r="F85" s="44" t="str">
        <x:v>VERY COMPLEX</x:v>
      </x:c>
      <x:c r="G85" s="44" t="str">
        <x:v>BOUNDED REPAIR</x:v>
      </x:c>
      <x:c r="H85" s="44" t="n">
        <x:v>1</x:v>
      </x:c>
      <x:c r="I85" s="44" t="n">
        <x:v>2</x:v>
      </x:c>
      <x:c r="J85" s="44" t="str">
        <x:v>CB120-AMOU-AM-N04-49D7EBF6D2</x:v>
      </x:c>
      <x:c r="K85" s="44" t="str">
        <x:v>49d7ebf6d2c647deddf8153ee55339d04adb0c931ba1f9e1f448455f83642688</x:v>
      </x:c>
      <x:c r="L85" s="44" t="str">
        <x:v>COMMERCIAL-SIMILARITY COMPUTATIONAL CANDIDATE</x:v>
      </x:c>
      <x:c r="M85" s="44" t="str">
        <x:v>PENDING PHYSICAL SMELL TEST • ZERO EMPIRICAL SIMILARITY PASS</x:v>
      </x:c>
      <x:c r="N85" s="44" t="str">
        <x:v>Rose / lime / angelica / incense / sandalwood</x:v>
      </x:c>
    </x:row>
    <x:row r="86" ht="48" customHeight="1">
      <x:c r="A86" s="44" t="str">
        <x:v>AM-N05</x:v>
      </x:c>
      <x:c r="B86" s="44" t="str">
        <x:v>Amouage</x:v>
      </x:c>
      <x:c r="C86" s="44" t="str">
        <x:v>Gold Man</x:v>
      </x:c>
      <x:c r="D86" s="50" t="n">
        <x:v>0.2</x:v>
      </x:c>
      <x:c r="E86" s="44" t="n">
        <x:v>95</x:v>
      </x:c>
      <x:c r="F86" s="44" t="str">
        <x:v>VERY COMPLEX</x:v>
      </x:c>
      <x:c r="G86" s="44" t="str">
        <x:v>CLEAN REBUILD</x:v>
      </x:c>
      <x:c r="H86" s="44" t="n">
        <x:v>5</x:v>
      </x:c>
      <x:c r="I86" s="44" t="n">
        <x:v>2</x:v>
      </x:c>
      <x:c r="J86" s="44" t="str">
        <x:v>CB120-AMOU-AM-N05-1D21CF82DA</x:v>
      </x:c>
      <x:c r="K86" s="44" t="str">
        <x:v>1d21cf82dad296e28d9d0e06ca928e1df9652d77e6938117944e4ccc70749d0b</x:v>
      </x:c>
      <x:c r="L86" s="44" t="str">
        <x:v>COMMERCIAL-SIMILARITY COMPUTATIONAL CANDIDATE</x:v>
      </x:c>
      <x:c r="M86" s="44" t="str">
        <x:v>PENDING PHYSICAL SMELL TEST • ZERO EMPIRICAL SIMILARITY PASS</x:v>
      </x:c>
      <x:c r="N86" s="44" t="str">
        <x:v>Classical florals / myrrh / civet / oakmoss / sandalwood</x:v>
      </x:c>
    </x:row>
    <x:row r="87" ht="48" customHeight="1">
      <x:c r="A87" s="44" t="str">
        <x:v>AM-N06</x:v>
      </x:c>
      <x:c r="B87" s="44" t="str">
        <x:v>Amouage</x:v>
      </x:c>
      <x:c r="C87" s="44" t="str">
        <x:v>Dia Man</x:v>
      </x:c>
      <x:c r="D87" s="50" t="n">
        <x:v>0.2</x:v>
      </x:c>
      <x:c r="E87" s="44" t="n">
        <x:v>95</x:v>
      </x:c>
      <x:c r="F87" s="44" t="str">
        <x:v>VERY COMPLEX</x:v>
      </x:c>
      <x:c r="G87" s="44" t="str">
        <x:v>PRESERVE CANDIDATE</x:v>
      </x:c>
      <x:c r="H87" s="44" t="n">
        <x:v>0</x:v>
      </x:c>
      <x:c r="I87" s="44" t="n">
        <x:v>1</x:v>
      </x:c>
      <x:c r="J87" s="44" t="str">
        <x:v>CB120-AMOU-AM-N06-FA9FE2D174</x:v>
      </x:c>
      <x:c r="K87" s="44" t="str">
        <x:v>fa9fe2d17427ba576b4f01d9d1ee7eaa46198a35d0471fdf91e67d8d41756350</x:v>
      </x:c>
      <x:c r="L87" s="44" t="str">
        <x:v>COMMERCIAL-SIMILARITY COMPUTATIONAL CANDIDATE</x:v>
      </x:c>
      <x:c r="M87" s="44" t="str">
        <x:v>PENDING PHYSICAL SMELL TEST • ZERO EMPIRICAL SIMILARITY PASS</x:v>
      </x:c>
      <x:c r="N87" s="44" t="str">
        <x:v>Aldehydic floral / incense / vetiver / leathered woods</x:v>
      </x:c>
    </x:row>
    <x:row r="88" ht="48" customHeight="1">
      <x:c r="A88" s="44" t="str">
        <x:v>AM-N07</x:v>
      </x:c>
      <x:c r="B88" s="44" t="str">
        <x:v>Amouage</x:v>
      </x:c>
      <x:c r="C88" s="44" t="str">
        <x:v>Opus VII Reckless Leather</x:v>
      </x:c>
      <x:c r="D88" s="50" t="n">
        <x:v>0.24</x:v>
      </x:c>
      <x:c r="E88" s="44" t="n">
        <x:v>85</x:v>
      </x:c>
      <x:c r="F88" s="44" t="str">
        <x:v>VERY COMPLEX</x:v>
      </x:c>
      <x:c r="G88" s="44" t="str">
        <x:v>CLEAN REBUILD</x:v>
      </x:c>
      <x:c r="H88" s="44" t="n">
        <x:v>3</x:v>
      </x:c>
      <x:c r="I88" s="44" t="n">
        <x:v>2</x:v>
      </x:c>
      <x:c r="J88" s="44" t="str">
        <x:v>CB120-AMOU-AM-N07-0A90DCE3CA</x:v>
      </x:c>
      <x:c r="K88" s="44" t="str">
        <x:v>0a90dce3ca90f530710a5787bf6e0cb9d7bd8ea2cdc56141c9981124fdfed286</x:v>
      </x:c>
      <x:c r="L88" s="44" t="str">
        <x:v>COMMERCIAL-SIMILARITY COMPUTATIONAL CANDIDATE</x:v>
      </x:c>
      <x:c r="M88" s="44" t="str">
        <x:v>PENDING PHYSICAL SMELL TEST • ZERO EMPIRICAL SIMILARITY PASS</x:v>
      </x:c>
      <x:c r="N88" s="44" t="str">
        <x:v>Galbanum / fenugreek / leather / oud / ambergris</x:v>
      </x:c>
    </x:row>
    <x:row r="89" ht="48" customHeight="1">
      <x:c r="A89" s="44" t="str">
        <x:v>AM-N08</x:v>
      </x:c>
      <x:c r="B89" s="44" t="str">
        <x:v>Amouage</x:v>
      </x:c>
      <x:c r="C89" s="44" t="str">
        <x:v>Opus XIII Silver Oud</x:v>
      </x:c>
      <x:c r="D89" s="50" t="n">
        <x:v>0.2</x:v>
      </x:c>
      <x:c r="E89" s="44" t="n">
        <x:v>80</x:v>
      </x:c>
      <x:c r="F89" s="44" t="str">
        <x:v>VERY COMPLEX</x:v>
      </x:c>
      <x:c r="G89" s="44" t="str">
        <x:v>CLEAN REBUILD</x:v>
      </x:c>
      <x:c r="H89" s="44" t="n">
        <x:v>2</x:v>
      </x:c>
      <x:c r="I89" s="44" t="n">
        <x:v>2</x:v>
      </x:c>
      <x:c r="J89" s="44" t="str">
        <x:v>CB120-AMOU-AM-N08-B3903EC474</x:v>
      </x:c>
      <x:c r="K89" s="44" t="str">
        <x:v>b3903ec474e051ba6414374775901051ca5d265fba8122edbdc70b98a4cd119a</x:v>
      </x:c>
      <x:c r="L89" s="44" t="str">
        <x:v>COMMERCIAL-SIMILARITY COMPUTATIONAL CANDIDATE</x:v>
      </x:c>
      <x:c r="M89" s="44" t="str">
        <x:v>PENDING PHYSICAL SMELL TEST • ZERO EMPIRICAL SIMILARITY PASS</x:v>
      </x:c>
      <x:c r="N89" s="44" t="str">
        <x:v>Cypriol / Assam oud / birch / castoreum / guaiac</x:v>
      </x:c>
    </x:row>
    <x:row r="90" ht="48" customHeight="1">
      <x:c r="A90" s="44" t="str">
        <x:v>AM-N09</x:v>
      </x:c>
      <x:c r="B90" s="44" t="str">
        <x:v>Amouage</x:v>
      </x:c>
      <x:c r="C90" s="44" t="str">
        <x:v>Opus XV King Blue</x:v>
      </x:c>
      <x:c r="D90" s="50" t="n">
        <x:v>0.35</x:v>
      </x:c>
      <x:c r="E90" s="44" t="n">
        <x:v>90</x:v>
      </x:c>
      <x:c r="F90" s="44" t="str">
        <x:v>VERY COMPLEX</x:v>
      </x:c>
      <x:c r="G90" s="44" t="str">
        <x:v>BOUNDED REPAIR</x:v>
      </x:c>
      <x:c r="H90" s="44" t="n">
        <x:v>2</x:v>
      </x:c>
      <x:c r="I90" s="44" t="n">
        <x:v>2</x:v>
      </x:c>
      <x:c r="J90" s="44" t="str">
        <x:v>CB120-AMOU-AM-N09-B027B63F4B</x:v>
      </x:c>
      <x:c r="K90" s="44" t="str">
        <x:v>b027b63f4b09f969cf1b9c7e85f95ba1b9f1ae50f661f664c9e441b4e1db8ba4</x:v>
      </x:c>
      <x:c r="L90" s="44" t="str">
        <x:v>COMMERCIAL-SIMILARITY COMPUTATIONAL CANDIDATE</x:v>
      </x:c>
      <x:c r="M90" s="44" t="str">
        <x:v>PENDING PHYSICAL SMELL TEST • ZERO EMPIRICAL SIMILARITY PASS</x:v>
      </x:c>
      <x:c r="N90" s="44" t="str">
        <x:v>Blackcurrant / frankincense / leather / oud / oakwood</x:v>
      </x:c>
    </x:row>
    <x:row r="91" ht="48" customHeight="1">
      <x:c r="A91" s="44" t="str">
        <x:v>AM-N10</x:v>
      </x:c>
      <x:c r="B91" s="44" t="str">
        <x:v>Amouage</x:v>
      </x:c>
      <x:c r="C91" s="44" t="str">
        <x:v>Opus XVI Timber</x:v>
      </x:c>
      <x:c r="D91" s="50" t="n">
        <x:v>0.25</x:v>
      </x:c>
      <x:c r="E91" s="44" t="n">
        <x:v>85</x:v>
      </x:c>
      <x:c r="F91" s="44" t="str">
        <x:v>VERY COMPLEX</x:v>
      </x:c>
      <x:c r="G91" s="44" t="str">
        <x:v>BOUNDED REPAIR</x:v>
      </x:c>
      <x:c r="H91" s="44" t="n">
        <x:v>6</x:v>
      </x:c>
      <x:c r="I91" s="44" t="n">
        <x:v>2</x:v>
      </x:c>
      <x:c r="J91" s="44" t="str">
        <x:v>CB120-AMOU-AM-N10-68A527F070</x:v>
      </x:c>
      <x:c r="K91" s="44" t="str">
        <x:v>68a527f070431e7846dc8885edeb464fb16a7c2c06262e661cccb8a5445dc917</x:v>
      </x:c>
      <x:c r="L91" s="44" t="str">
        <x:v>COMMERCIAL-SIMILARITY COMPUTATIONAL CANDIDATE</x:v>
      </x:c>
      <x:c r="M91" s="44" t="str">
        <x:v>PENDING PHYSICAL SMELL TEST • ZERO EMPIRICAL SIMILARITY PASS</x:v>
      </x:c>
      <x:c r="N91" s="44" t="str">
        <x:v>Top: cypress, cardamom, juniper, pink pepper and cocoa. Heart: lavandin, fir balsam and Hojari frankincense. Base: palo santo, Bourbon vanilla, sandalwood, cedarwood and patchouli.</x:v>
      </x:c>
    </x:row>
    <x:row r="92" ht="48" customHeight="1">
      <x:c r="A92" s="44" t="str">
        <x:v>AM-N11</x:v>
      </x:c>
      <x:c r="B92" s="44" t="str">
        <x:v>Amouage</x:v>
      </x:c>
      <x:c r="C92" s="44" t="str">
        <x:v>Material</x:v>
      </x:c>
      <x:c r="D92" s="50" t="n">
        <x:v>0.25</x:v>
      </x:c>
      <x:c r="E92" s="44" t="n">
        <x:v>72</x:v>
      </x:c>
      <x:c r="F92" s="44" t="str">
        <x:v>VERY COMPLEX</x:v>
      </x:c>
      <x:c r="G92" s="44" t="str">
        <x:v>BOUNDED REPAIR</x:v>
      </x:c>
      <x:c r="H92" s="44" t="n">
        <x:v>0</x:v>
      </x:c>
      <x:c r="I92" s="44" t="n">
        <x:v>2</x:v>
      </x:c>
      <x:c r="J92" s="44" t="str">
        <x:v>CB120-AMOU-AM-N11-90A888C7E6</x:v>
      </x:c>
      <x:c r="K92" s="44" t="str">
        <x:v>90a888c7e65260d0abb10c1838c2aaf7ab3c02c3591036b868ee1221a149c2d4</x:v>
      </x:c>
      <x:c r="L92" s="44" t="str">
        <x:v>COMMERCIAL-SIMILARITY COMPUTATIONAL CANDIDATE</x:v>
      </x:c>
      <x:c r="M92" s="44" t="str">
        <x:v>PENDING PHYSICAL SMELL TEST • ZERO EMPIRICAL SIMILARITY PASS</x:v>
      </x:c>
      <x:c r="N92" s="44" t="str">
        <x:v>Vanilla / benzoin / frankincense / woods</x:v>
      </x:c>
    </x:row>
    <x:row r="93" ht="48" customHeight="1">
      <x:c r="A93" s="44" t="str">
        <x:v>AM-N12</x:v>
      </x:c>
      <x:c r="B93" s="44" t="str">
        <x:v>Amouage</x:v>
      </x:c>
      <x:c r="C93" s="44" t="str">
        <x:v>Meander</x:v>
      </x:c>
      <x:c r="D93" s="50" t="n">
        <x:v>0.25</x:v>
      </x:c>
      <x:c r="E93" s="44" t="n">
        <x:v>82</x:v>
      </x:c>
      <x:c r="F93" s="44" t="str">
        <x:v>VERY COMPLEX</x:v>
      </x:c>
      <x:c r="G93" s="44" t="str">
        <x:v>BOUNDED REPAIR</x:v>
      </x:c>
      <x:c r="H93" s="44" t="n">
        <x:v>0</x:v>
      </x:c>
      <x:c r="I93" s="44" t="n">
        <x:v>2</x:v>
      </x:c>
      <x:c r="J93" s="44" t="str">
        <x:v>CB120-AMOU-AM-N12-5A0EA61837</x:v>
      </x:c>
      <x:c r="K93" s="44" t="str">
        <x:v>5a0ea6183747b605f591907716cab57ea313c036d61c93d7c132faeb37003515</x:v>
      </x:c>
      <x:c r="L93" s="44" t="str">
        <x:v>COMMERCIAL-SIMILARITY COMPUTATIONAL CANDIDATE</x:v>
      </x:c>
      <x:c r="M93" s="44" t="str">
        <x:v>PENDING PHYSICAL SMELL TEST • ZERO EMPIRICAL SIMILARITY PASS</x:v>
      </x:c>
      <x:c r="N93" s="44" t="str">
        <x:v>Orris / carrot / sandalwood / frankincense / woods</x:v>
      </x:c>
    </x:row>
    <x:row r="94" ht="48" customHeight="1">
      <x:c r="A94" s="44" t="str">
        <x:v>AM-N13</x:v>
      </x:c>
      <x:c r="B94" s="44" t="str">
        <x:v>Amouage</x:v>
      </x:c>
      <x:c r="C94" s="44" t="str">
        <x:v>Guidance 46</x:v>
      </x:c>
      <x:c r="D94" s="50" t="n">
        <x:v>0.46</x:v>
      </x:c>
      <x:c r="E94" s="44" t="n">
        <x:v>95</x:v>
      </x:c>
      <x:c r="F94" s="44" t="str">
        <x:v>VERY COMPLEX</x:v>
      </x:c>
      <x:c r="G94" s="44" t="str">
        <x:v>CLEAN REBUILD</x:v>
      </x:c>
      <x:c r="H94" s="44" t="n">
        <x:v>4</x:v>
      </x:c>
      <x:c r="I94" s="44" t="n">
        <x:v>2</x:v>
      </x:c>
      <x:c r="J94" s="44" t="str">
        <x:v>CB120-AMOU-AM-N13-ED0FCCBEAD</x:v>
      </x:c>
      <x:c r="K94" s="44" t="str">
        <x:v>ed0fccbead09dc7846ad2257602580c02082add846567db06518aaed8f2b1da4</x:v>
      </x:c>
      <x:c r="L94" s="44" t="str">
        <x:v>COMMERCIAL-SIMILARITY COMPUTATIONAL CANDIDATE</x:v>
      </x:c>
      <x:c r="M94" s="44" t="str">
        <x:v>PENDING PHYSICAL SMELL TEST • ZERO EMPIRICAL SIMILARITY PASS</x:v>
      </x:c>
      <x:c r="N94" s="44" t="str">
        <x:v>Pear / hazelnut / osmanthus / saffron / woods / ambergris</x:v>
      </x:c>
    </x:row>
    <x:row r="95" ht="48" customHeight="1">
      <x:c r="A95" s="44" t="str">
        <x:v>AM-N14</x:v>
      </x:c>
      <x:c r="B95" s="44" t="str">
        <x:v>Amouage</x:v>
      </x:c>
      <x:c r="C95" s="44" t="str">
        <x:v>Decision</x:v>
      </x:c>
      <x:c r="D95" s="50" t="n">
        <x:v>0.33</x:v>
      </x:c>
      <x:c r="E95" s="44" t="n">
        <x:v>75</x:v>
      </x:c>
      <x:c r="F95" s="44" t="str">
        <x:v>VERY COMPLEX</x:v>
      </x:c>
      <x:c r="G95" s="44" t="str">
        <x:v>BOUNDED REPAIR</x:v>
      </x:c>
      <x:c r="H95" s="44" t="n">
        <x:v>3</x:v>
      </x:c>
      <x:c r="I95" s="44" t="n">
        <x:v>1</x:v>
      </x:c>
      <x:c r="J95" s="44" t="str">
        <x:v>CB120-AMOU-AM-N14-B59996C363</x:v>
      </x:c>
      <x:c r="K95" s="44" t="str">
        <x:v>b59996c363434b26de4a5c1a20d1e89cb367a829476243aa109599a87c78e61f</x:v>
      </x:c>
      <x:c r="L95" s="44" t="str">
        <x:v>COMMERCIAL-SIMILARITY COMPUTATIONAL CANDIDATE</x:v>
      </x:c>
      <x:c r="M95" s="44" t="str">
        <x:v>PENDING PHYSICAL SMELL TEST • ZERO EMPIRICAL SIMILARITY PASS</x:v>
      </x:c>
      <x:c r="N95" s="44" t="str">
        <x:v>Top: pink pepper, bergamot and cardamom. Heart: frankincense, juniper and myrrh. Base: patchouli, cedarwood and vanilla.</x:v>
      </x:c>
    </x:row>
    <x:row r="96" ht="48" customHeight="1">
      <x:c r="A96" s="44" t="str">
        <x:v>AM-N15</x:v>
      </x:c>
      <x:c r="B96" s="44" t="str">
        <x:v>Amouage</x:v>
      </x:c>
      <x:c r="C96" s="44" t="str">
        <x:v>Outlands</x:v>
      </x:c>
      <x:c r="D96" s="50" t="n">
        <x:v>0.3</x:v>
      </x:c>
      <x:c r="E96" s="44" t="n">
        <x:v>100</x:v>
      </x:c>
      <x:c r="F96" s="44" t="str">
        <x:v>VERY COMPLEX</x:v>
      </x:c>
      <x:c r="G96" s="44" t="str">
        <x:v>BOUNDED REPAIR</x:v>
      </x:c>
      <x:c r="H96" s="44" t="n">
        <x:v>9</x:v>
      </x:c>
      <x:c r="I96" s="44" t="n">
        <x:v>2</x:v>
      </x:c>
      <x:c r="J96" s="44" t="str">
        <x:v>CB120-AMOU-AM-N15-2BE59C8E5D</x:v>
      </x:c>
      <x:c r="K96" s="44" t="str">
        <x:v>2be59c8e5d04e934b4dd28c283c2a14e182b522b648eae064759ff230b5e2b8d</x:v>
      </x:c>
      <x:c r="L96" s="44" t="str">
        <x:v>COMMERCIAL-SIMILARITY COMPUTATIONAL CANDIDATE</x:v>
      </x:c>
      <x:c r="M96" s="44" t="str">
        <x:v>PENDING PHYSICAL SMELL TEST • ZERO EMPIRICAL SIMILARITY PASS</x:v>
      </x:c>
      <x:c r="N96" s="44" t="str">
        <x:v>Top: cardamom, bergamot, lemon, Sichuan pepper, elemi and frankincense. Heart: patchouli, rose, orange blossom, cumin, geranium, davana, saffron, anise and coriander. Base: benzoin, labdanum, amber, ambergris, frankincense, opoponax, vanilla, birch, musks and oud; sandalwood/oakwood infusion patina.</x:v>
      </x:c>
    </x:row>
    <x:row r="97" ht="48" customHeight="1">
      <x:c r="A97" s="44" t="str">
        <x:v>AM-N16</x:v>
      </x:c>
      <x:c r="B97" s="44" t="str">
        <x:v>Amouage</x:v>
      </x:c>
      <x:c r="C97" s="44" t="str">
        <x:v>Lustre</x:v>
      </x:c>
      <x:c r="D97" s="50" t="n">
        <x:v>0.3</x:v>
      </x:c>
      <x:c r="E97" s="44" t="n">
        <x:v>88</x:v>
      </x:c>
      <x:c r="F97" s="44" t="str">
        <x:v>VERY COMPLEX</x:v>
      </x:c>
      <x:c r="G97" s="44" t="str">
        <x:v>BOUNDED REPAIR</x:v>
      </x:c>
      <x:c r="H97" s="44" t="n">
        <x:v>2</x:v>
      </x:c>
      <x:c r="I97" s="44" t="n">
        <x:v>2</x:v>
      </x:c>
      <x:c r="J97" s="44" t="str">
        <x:v>CB120-AMOU-AM-N16-9909431B92</x:v>
      </x:c>
      <x:c r="K97" s="44" t="str">
        <x:v>9909431b92808243b94497ee37f96dbaa2f706183f8eec0e763395d4dcb0eda1</x:v>
      </x:c>
      <x:c r="L97" s="44" t="str">
        <x:v>COMMERCIAL-SIMILARITY COMPUTATIONAL CANDIDATE</x:v>
      </x:c>
      <x:c r="M97" s="44" t="str">
        <x:v>PENDING PHYSICAL SMELL TEST • ZERO EMPIRICAL SIMILARITY PASS</x:v>
      </x:c>
      <x:c r="N97" s="44" t="str">
        <x:v>Top: effervescent cardamom and powdery orris. Heart: patchouli, creamy sandalwood and cedarwood. Base: benzoin, labdanum, vanilla, cypriol, styrax, tonka bean and myrrh.</x:v>
      </x:c>
    </x:row>
    <x:row r="98" ht="48" customHeight="1">
      <x:c r="A98" s="44" t="str">
        <x:v>PR-E01</x:v>
      </x:c>
      <x:c r="B98" s="44" t="str">
        <x:v>Prada</x:v>
      </x:c>
      <x:c r="C98" s="44" t="str">
        <x:v>L'Homme Prada Eau de Toilette</x:v>
      </x:c>
      <x:c r="D98" s="50" t="n">
        <x:v>0.15</x:v>
      </x:c>
      <x:c r="E98" s="44" t="n">
        <x:v>49</x:v>
      </x:c>
      <x:c r="F98" s="44" t="str">
        <x:v>MODERATE</x:v>
      </x:c>
      <x:c r="G98" s="44" t="str">
        <x:v>CLEAN REBUILD</x:v>
      </x:c>
      <x:c r="H98" s="44" t="n">
        <x:v>1</x:v>
      </x:c>
      <x:c r="I98" s="44" t="n">
        <x:v>0</x:v>
      </x:c>
      <x:c r="J98" s="44" t="str">
        <x:v>CB120-PRAD-PR-E01-308C3E23C0</x:v>
      </x:c>
      <x:c r="K98" s="44" t="str">
        <x:v>308c3e23c0ad8de31f5b07c8cdc7eb134c5b747cc8e963c79a6ff9567d2719ca</x:v>
      </x:c>
      <x:c r="L98" s="44" t="str">
        <x:v>COMMERCIAL-SIMILARITY COMPUTATIONAL CANDIDATE</x:v>
      </x:c>
      <x:c r="M98" s="44" t="str">
        <x:v>PENDING PHYSICAL SMELL TEST • ZERO EMPIRICAL SIMILARITY PASS</x:v>
      </x:c>
      <x:c r="N98" s="44" t="str">
        <x:v>Opening: clean black-pepper sparkle, metallic aldehydic linen air and restrained neroli. Heart: green-rosy geranium, subdued clean iris and soap-textile florals. Base: patchouli, amber, cedar and radiant textile musks. Orris root must not dominate.</x:v>
      </x:c>
    </x:row>
    <x:row r="99" ht="48" customHeight="1">
      <x:c r="A99" s="44" t="str">
        <x:v>PR-E02</x:v>
      </x:c>
      <x:c r="B99" s="44" t="str">
        <x:v>Prada</x:v>
      </x:c>
      <x:c r="C99" s="44" t="str">
        <x:v>L'Homme Prada Intense Eau de Parfum</x:v>
      </x:c>
      <x:c r="D99" s="50" t="n">
        <x:v>0.22</x:v>
      </x:c>
      <x:c r="E99" s="44" t="n">
        <x:v>51</x:v>
      </x:c>
      <x:c r="F99" s="44" t="str">
        <x:v>COMPLEX</x:v>
      </x:c>
      <x:c r="G99" s="44" t="str">
        <x:v>PRESERVE CANDIDATE</x:v>
      </x:c>
      <x:c r="H99" s="44" t="n">
        <x:v>0</x:v>
      </x:c>
      <x:c r="I99" s="44" t="n">
        <x:v>2</x:v>
      </x:c>
      <x:c r="J99" s="44" t="str">
        <x:v>CB120-PRAD-PR-E02-A18046997C</x:v>
      </x:c>
      <x:c r="K99" s="44" t="str">
        <x:v>a18046997c2c16d7da22e6618a4df026352be75a2c4625f31c7794d77d20cfaa</x:v>
      </x:c>
      <x:c r="L99" s="44" t="str">
        <x:v>COMMERCIAL-SIMILARITY COMPUTATIONAL CANDIDATE</x:v>
      </x:c>
      <x:c r="M99" s="44" t="str">
        <x:v>PENDING PHYSICAL SMELL TEST • ZERO EMPIRICAL SIMILARITY PASS</x:v>
      </x:c>
      <x:c r="N99" s="44" t="str">
        <x:v>Dense iris, amber, patchouli, roasted tonka and sandalwood with dark leathery depth.</x:v>
      </x:c>
    </x:row>
    <x:row r="100" ht="48" customHeight="1">
      <x:c r="A100" s="44" t="str">
        <x:v>PR-E03</x:v>
      </x:c>
      <x:c r="B100" s="44" t="str">
        <x:v>Prada</x:v>
      </x:c>
      <x:c r="C100" s="44" t="str">
        <x:v>Luna Rossa Carbon Eau de Toilette</x:v>
      </x:c>
      <x:c r="D100" s="50" t="n">
        <x:v>0.18</x:v>
      </x:c>
      <x:c r="E100" s="44" t="n">
        <x:v>33</x:v>
      </x:c>
      <x:c r="F100" s="44" t="str">
        <x:v>MODERATE</x:v>
      </x:c>
      <x:c r="G100" s="44" t="str">
        <x:v>BOUNDED REPAIR</x:v>
      </x:c>
      <x:c r="H100" s="44" t="n">
        <x:v>0</x:v>
      </x:c>
      <x:c r="I100" s="44" t="n">
        <x:v>0</x:v>
      </x:c>
      <x:c r="J100" s="44" t="str">
        <x:v>CB120-PRAD-PR-E03-F76AE33601</x:v>
      </x:c>
      <x:c r="K100" s="44" t="str">
        <x:v>f76ae3360168489279b3cfa0c42878fc00645420aa0478967f8dbf8c45e9c20e</x:v>
      </x:c>
      <x:c r="L100" s="44" t="str">
        <x:v>COMMERCIAL-SIMILARITY COMPUTATIONAL CANDIDATE</x:v>
      </x:c>
      <x:c r="M100" s="44" t="str">
        <x:v>PENDING PHYSICAL SMELL TEST • ZERO EMPIRICAL SIMILARITY PASS</x:v>
      </x:c>
      <x:c r="N100" s="44" t="str">
        <x:v>Metallic lavender, green-floral geranium and mineral ambroxan over clean woods.</x:v>
      </x:c>
    </x:row>
    <x:row r="101" ht="48" customHeight="1">
      <x:c r="A101" s="44" t="str">
        <x:v>PR-E04</x:v>
      </x:c>
      <x:c r="B101" s="44" t="str">
        <x:v>Prada</x:v>
      </x:c>
      <x:c r="C101" s="44" t="str">
        <x:v>Luna Rossa Carbon Eau de Parfum</x:v>
      </x:c>
      <x:c r="D101" s="50" t="n">
        <x:v>0.2</x:v>
      </x:c>
      <x:c r="E101" s="44" t="n">
        <x:v>50</x:v>
      </x:c>
      <x:c r="F101" s="44" t="str">
        <x:v>COMPLEX</x:v>
      </x:c>
      <x:c r="G101" s="44" t="str">
        <x:v>BOUNDED REPAIR</x:v>
      </x:c>
      <x:c r="H101" s="44" t="n">
        <x:v>2</x:v>
      </x:c>
      <x:c r="I101" s="44" t="n">
        <x:v>0</x:v>
      </x:c>
      <x:c r="J101" s="44" t="str">
        <x:v>CB120-PRAD-PR-E04-16B594A2D7</x:v>
      </x:c>
      <x:c r="K101" s="44" t="str">
        <x:v>16b594a2d71b4b1b0866741a3e1ec6f7279b503763b34bff4d3d43448d80d2e8</x:v>
      </x:c>
      <x:c r="L101" s="44" t="str">
        <x:v>COMMERCIAL-SIMILARITY COMPUTATIONAL CANDIDATE</x:v>
      </x:c>
      <x:c r="M101" s="44" t="str">
        <x:v>PENDING PHYSICAL SMELL TEST • ZERO EMPIRICAL SIMILARITY PASS</x:v>
      </x:c>
      <x:c r="N101" s="44" t="str">
        <x:v>Top/heart: fresh lavender fused with warm licorice accord. Heart/base: sophisticated cypress and dense dark gourmand carbon-like woods; declaration markers include anethole, pinene, vanillin, lavender and cedar-family materials.</x:v>
      </x:c>
    </x:row>
    <x:row r="102" ht="48" customHeight="1">
      <x:c r="A102" s="44" t="str">
        <x:v>PR-E05</x:v>
      </x:c>
      <x:c r="B102" s="44" t="str">
        <x:v>Prada</x:v>
      </x:c>
      <x:c r="C102" s="44" t="str">
        <x:v>Luna Rossa Black Eau de Parfum</x:v>
      </x:c>
      <x:c r="D102" s="50" t="n">
        <x:v>0.2</x:v>
      </x:c>
      <x:c r="E102" s="44" t="n">
        <x:v>33</x:v>
      </x:c>
      <x:c r="F102" s="44" t="str">
        <x:v>MODERATE</x:v>
      </x:c>
      <x:c r="G102" s="44" t="str">
        <x:v>BOUNDED REPAIR</x:v>
      </x:c>
      <x:c r="H102" s="44" t="n">
        <x:v>1</x:v>
      </x:c>
      <x:c r="I102" s="44" t="n">
        <x:v>0</x:v>
      </x:c>
      <x:c r="J102" s="44" t="str">
        <x:v>CB120-PRAD-PR-E05-04A9D87199</x:v>
      </x:c>
      <x:c r="K102" s="44" t="str">
        <x:v>04a9d8719902939564f51a8ed2eea150aedb1b6285fa4252b60b1f9236a40591</x:v>
      </x:c>
      <x:c r="L102" s="44" t="str">
        <x:v>COMMERCIAL-SIMILARITY COMPUTATIONAL CANDIDATE</x:v>
      </x:c>
      <x:c r="M102" s="44" t="str">
        <x:v>PENDING PHYSICAL SMELL TEST • ZERO EMPIRICAL SIMILARITY PASS</x:v>
      </x:c>
      <x:c r="N102" s="44" t="str">
        <x:v>Bergamot and angelica over patchouli-coumarin, woody amber and intimate musk.</x:v>
      </x:c>
    </x:row>
    <x:row r="103" ht="48" customHeight="1">
      <x:c r="A103" s="44" t="str">
        <x:v>PR-E06</x:v>
      </x:c>
      <x:c r="B103" s="44" t="str">
        <x:v>Prada</x:v>
      </x:c>
      <x:c r="C103" s="44" t="str">
        <x:v>Luna Rossa Ocean Eau de Parfum</x:v>
      </x:c>
      <x:c r="D103" s="50" t="n">
        <x:v>0.2</x:v>
      </x:c>
      <x:c r="E103" s="44" t="n">
        <x:v>35</x:v>
      </x:c>
      <x:c r="F103" s="44" t="str">
        <x:v>MODERATE</x:v>
      </x:c>
      <x:c r="G103" s="44" t="str">
        <x:v>BOUNDED REPAIR</x:v>
      </x:c>
      <x:c r="H103" s="44" t="n">
        <x:v>0</x:v>
      </x:c>
      <x:c r="I103" s="44" t="n">
        <x:v>0</x:v>
      </x:c>
      <x:c r="J103" s="44" t="str">
        <x:v>CB120-PRAD-PR-E06-C95AC0061C</x:v>
      </x:c>
      <x:c r="K103" s="44" t="str">
        <x:v>c95ac0061c557cc872f1fad61fb52234112e849c4bcf47d39d7f04fc9f835a99</x:v>
      </x:c>
      <x:c r="L103" s="44" t="str">
        <x:v>COMMERCIAL-SIMILARITY COMPUTATIONAL CANDIDATE</x:v>
      </x:c>
      <x:c r="M103" s="44" t="str">
        <x:v>PENDING PHYSICAL SMELL TEST • ZERO EMPIRICAL SIMILARITY PASS</x:v>
      </x:c>
      <x:c r="N103" s="44" t="str">
        <x:v>Grapefruit, smoky incense, vanilla bean and high-performance AmberXtreme woody amber.</x:v>
      </x:c>
    </x:row>
    <x:row r="104" ht="48" customHeight="1">
      <x:c r="A104" s="44" t="str">
        <x:v>PR-E07</x:v>
      </x:c>
      <x:c r="B104" s="44" t="str">
        <x:v>Prada</x:v>
      </x:c>
      <x:c r="C104" s="44" t="str">
        <x:v>Luna Rossa Ocean Le Parfum</x:v>
      </x:c>
      <x:c r="D104" s="50" t="n">
        <x:v>0.25</x:v>
      </x:c>
      <x:c r="E104" s="44" t="n">
        <x:v>46</x:v>
      </x:c>
      <x:c r="F104" s="44" t="str">
        <x:v>MODERATE</x:v>
      </x:c>
      <x:c r="G104" s="44" t="str">
        <x:v>BOUNDED REPAIR</x:v>
      </x:c>
      <x:c r="H104" s="44" t="n">
        <x:v>1</x:v>
      </x:c>
      <x:c r="I104" s="44" t="n">
        <x:v>0</x:v>
      </x:c>
      <x:c r="J104" s="44" t="str">
        <x:v>CB120-PRAD-PR-E07-CACBE04825</x:v>
      </x:c>
      <x:c r="K104" s="44" t="str">
        <x:v>cacbe0482577061c5625ff27fd67ffa2ef3efd12f96ec9cbc811b8a8d6b3f7f1</x:v>
      </x:c>
      <x:c r="L104" s="44" t="str">
        <x:v>COMMERCIAL-SIMILARITY COMPUTATIONAL CANDIDATE</x:v>
      </x:c>
      <x:c r="M104" s="44" t="str">
        <x:v>PENDING PHYSICAL SMELL TEST • ZERO EMPIRICAL SIMILARITY PASS</x:v>
      </x:c>
      <x:c r="N104" s="44" t="str">
        <x:v>Vivid lemon, saffron accord and smoky leathery oakwood in an ambery fougère.</x:v>
      </x:c>
    </x:row>
    <x:row r="105" ht="48" customHeight="1">
      <x:c r="A105" s="44" t="str">
        <x:v>PR-E08</x:v>
      </x:c>
      <x:c r="B105" s="44" t="str">
        <x:v>Prada</x:v>
      </x:c>
      <x:c r="C105" s="44" t="str">
        <x:v>Prada Amber Pour Homme Eau de Toilette</x:v>
      </x:c>
      <x:c r="D105" s="50" t="n">
        <x:v>0.18</x:v>
      </x:c>
      <x:c r="E105" s="44" t="n">
        <x:v>33</x:v>
      </x:c>
      <x:c r="F105" s="44" t="str">
        <x:v>MODERATE</x:v>
      </x:c>
      <x:c r="G105" s="44" t="str">
        <x:v>PRESERVE CANDIDATE</x:v>
      </x:c>
      <x:c r="H105" s="44" t="n">
        <x:v>1</x:v>
      </x:c>
      <x:c r="I105" s="44" t="n">
        <x:v>1</x:v>
      </x:c>
      <x:c r="J105" s="44" t="str">
        <x:v>CB120-PRAD-PR-E08-9B4F5AE2DB</x:v>
      </x:c>
      <x:c r="K105" s="44" t="str">
        <x:v>9b4f5ae2db08a38b738b292e0ba7e39a20369202ea7399288f08aedbb6d45e53</x:v>
      </x:c>
      <x:c r="L105" s="44" t="str">
        <x:v>COMMERCIAL-SIMILARITY COMPUTATIONAL CANDIDATE</x:v>
      </x:c>
      <x:c r="M105" s="44" t="str">
        <x:v>PENDING PHYSICAL SMELL TEST • ZERO EMPIRICAL SIMILARITY PASS</x:v>
      </x:c>
      <x:c r="N105" s="44" t="str">
        <x:v>Barber-soap fougère against rich amber, neroli, myrrh, saffron, suede, woods and patchouli.</x:v>
      </x:c>
    </x:row>
    <x:row r="106" ht="48" customHeight="1">
      <x:c r="A106" s="44" t="str">
        <x:v>PR-E09</x:v>
      </x:c>
      <x:c r="B106" s="44" t="str">
        <x:v>Prada</x:v>
      </x:c>
      <x:c r="C106" s="44" t="str">
        <x:v>Paradigme Eau de Parfum</x:v>
      </x:c>
      <x:c r="D106" s="50" t="n">
        <x:v>0.2</x:v>
      </x:c>
      <x:c r="E106" s="44" t="n">
        <x:v>35</x:v>
      </x:c>
      <x:c r="F106" s="44" t="str">
        <x:v>MODERATE</x:v>
      </x:c>
      <x:c r="G106" s="44" t="str">
        <x:v>BOUNDED REPAIR</x:v>
      </x:c>
      <x:c r="H106" s="44" t="n">
        <x:v>1</x:v>
      </x:c>
      <x:c r="I106" s="44" t="n">
        <x:v>0</x:v>
      </x:c>
      <x:c r="J106" s="44" t="str">
        <x:v>CB120-PRAD-PR-E09-C2A64F0AEE</x:v>
      </x:c>
      <x:c r="K106" s="44" t="str">
        <x:v>c2a64f0aee3276a74c08df6dccc07a98a0eb8c91c508a1961cc7dcd9b86a28b8</x:v>
      </x:c>
      <x:c r="L106" s="44" t="str">
        <x:v>COMMERCIAL-SIMILARITY COMPUTATIONAL CANDIDATE</x:v>
      </x:c>
      <x:c r="M106" s="44" t="str">
        <x:v>PENDING PHYSICAL SMELL TEST • ZERO EMPIRICAL SIMILARITY PASS</x:v>
      </x:c>
      <x:c r="N106" s="44" t="str">
        <x:v>Reversed pyramid. Base opens first with warm ambery woods composed of Peru balsam, benzoin resin and vigorous guaiac wood. Heart: green Bourbon geranium with floral rosy facets. Top: Calabrian bergamot heart and airy musks.</x:v>
      </x:c>
    </x:row>
    <x:row r="107" ht="48" customHeight="1">
      <x:c r="A107" s="44" t="str">
        <x:v>PR-L01</x:v>
      </x:c>
      <x:c r="B107" s="44" t="str">
        <x:v>Prada</x:v>
      </x:c>
      <x:c r="C107" s="44" t="str">
        <x:v>Luna Rossa Extreme</x:v>
      </x:c>
      <x:c r="D107" s="50" t="n">
        <x:v>0.2</x:v>
      </x:c>
      <x:c r="E107" s="44" t="n">
        <x:v>32</x:v>
      </x:c>
      <x:c r="F107" s="44" t="str">
        <x:v>STREAMLINED</x:v>
      </x:c>
      <x:c r="G107" s="44" t="str">
        <x:v>HOLD</x:v>
      </x:c>
      <x:c r="H107" s="44" t="n">
        <x:v>0</x:v>
      </x:c>
      <x:c r="I107" s="44" t="n">
        <x:v>0</x:v>
      </x:c>
      <x:c r="J107" s="44" t="str">
        <x:v>CB120-PRAD-PR-L01-6BF958423D</x:v>
      </x:c>
      <x:c r="K107" s="44" t="str">
        <x:v>6bf958423d1ee3ef4d928c4cf637674b2589b4eb5fbe07d5d4e0e1786cafce20</x:v>
      </x:c>
      <x:c r="L107" s="44" t="str">
        <x:v>ARCHIVED COMPUTATIONAL FORMULA • HOLD • DO NOT BATCH</x:v>
      </x:c>
      <x:c r="M107" s="44" t="str">
        <x:v>HOLD • REFERENCE / VERSION / DATA LOCK MISSING</x:v>
      </x:c>
      <x:c r="N107" s="44" t="str">
        <x:v>Black pepper, lavender, vanilla, amber, labdanum, juniper and bergamot.</x:v>
      </x:c>
    </x:row>
    <x:row r="108" ht="48" customHeight="1">
      <x:c r="A108" s="44" t="str">
        <x:v>PR-L02</x:v>
      </x:c>
      <x:c r="B108" s="44" t="str">
        <x:v>Prada</x:v>
      </x:c>
      <x:c r="C108" s="44" t="str">
        <x:v>Luna Rossa Eau Sport</x:v>
      </x:c>
      <x:c r="D108" s="50" t="n">
        <x:v>0.15</x:v>
      </x:c>
      <x:c r="E108" s="44" t="n">
        <x:v>32</x:v>
      </x:c>
      <x:c r="F108" s="44" t="str">
        <x:v>STREAMLINED</x:v>
      </x:c>
      <x:c r="G108" s="44" t="str">
        <x:v>HOLD</x:v>
      </x:c>
      <x:c r="H108" s="44" t="n">
        <x:v>0</x:v>
      </x:c>
      <x:c r="I108" s="44" t="n">
        <x:v>0</x:v>
      </x:c>
      <x:c r="J108" s="44" t="str">
        <x:v>CB120-PRAD-PR-L02-AAC985C42C</x:v>
      </x:c>
      <x:c r="K108" s="44" t="str">
        <x:v>aac985c42c82aa9271b3799de52a3fa58ef5f31ca729d59aa47e4fdd46016940</x:v>
      </x:c>
      <x:c r="L108" s="44" t="str">
        <x:v>ARCHIVED COMPUTATIONAL FORMULA • HOLD • DO NOT BATCH</x:v>
      </x:c>
      <x:c r="M108" s="44" t="str">
        <x:v>HOLD • REFERENCE / VERSION / DATA LOCK MISSING</x:v>
      </x:c>
      <x:c r="N108" s="44" t="str">
        <x:v>Citron and bergamot, lavender and ginger, ambergris-style woods and cedar.</x:v>
      </x:c>
    </x:row>
    <x:row r="109" ht="48" customHeight="1">
      <x:c r="A109" s="44" t="str">
        <x:v>PR-L03</x:v>
      </x:c>
      <x:c r="B109" s="44" t="str">
        <x:v>Prada</x:v>
      </x:c>
      <x:c r="C109" s="44" t="str">
        <x:v>Infusion d'Homme Eau de Toilette</x:v>
      </x:c>
      <x:c r="D109" s="50" t="n">
        <x:v>0.15</x:v>
      </x:c>
      <x:c r="E109" s="44" t="n">
        <x:v>32</x:v>
      </x:c>
      <x:c r="F109" s="44" t="str">
        <x:v>STREAMLINED</x:v>
      </x:c>
      <x:c r="G109" s="44" t="str">
        <x:v>HOLD</x:v>
      </x:c>
      <x:c r="H109" s="44" t="n">
        <x:v>0</x:v>
      </x:c>
      <x:c r="I109" s="44" t="n">
        <x:v>0</x:v>
      </x:c>
      <x:c r="J109" s="44" t="str">
        <x:v>CB120-PRAD-PR-L03-AA0B6C3596</x:v>
      </x:c>
      <x:c r="K109" s="44" t="str">
        <x:v>aa0b6c3596112c02c1f28d63bc8bcd7ea878337b8c7d9d9b4923da635e4a677a</x:v>
      </x:c>
      <x:c r="L109" s="44" t="str">
        <x:v>ARCHIVED COMPUTATIONAL FORMULA • HOLD • DO NOT BATCH</x:v>
      </x:c>
      <x:c r="M109" s="44" t="str">
        <x:v>HOLD • REFERENCE / VERSION / DATA LOCK MISSING</x:v>
      </x:c>
      <x:c r="N109" s="44" t="str">
        <x:v>Citrus, neroli and clean iris over silky incense, cedar, benzoin and musk.</x:v>
      </x:c>
    </x:row>
    <x:row r="110" ht="48" customHeight="1">
      <x:c r="A110" s="44" t="str">
        <x:v>PR-L04</x:v>
      </x:c>
      <x:c r="B110" s="44" t="str">
        <x:v>Prada</x:v>
      </x:c>
      <x:c r="C110" s="44" t="str">
        <x:v>L'Homme Prada Absolu Eau de Parfum</x:v>
      </x:c>
      <x:c r="D110" s="50" t="n">
        <x:v>0.23</x:v>
      </x:c>
      <x:c r="E110" s="44" t="n">
        <x:v>44</x:v>
      </x:c>
      <x:c r="F110" s="44" t="str">
        <x:v>MODERATE</x:v>
      </x:c>
      <x:c r="G110" s="44" t="str">
        <x:v>CLEAN REBUILD</x:v>
      </x:c>
      <x:c r="H110" s="44" t="n">
        <x:v>2</x:v>
      </x:c>
      <x:c r="I110" s="44" t="n">
        <x:v>1</x:v>
      </x:c>
      <x:c r="J110" s="44" t="str">
        <x:v>CB120-PRAD-PR-L04-B817C3A2E9</x:v>
      </x:c>
      <x:c r="K110" s="44" t="str">
        <x:v>b817c3a2e91802e7200a6cdb303209b1d7d6341ef0db0100ddfcaceeed517d98</x:v>
      </x:c>
      <x:c r="L110" s="44" t="str">
        <x:v>COMMERCIAL-SIMILARITY COMPUTATIONAL CANDIDATE</x:v>
      </x:c>
      <x:c r="M110" s="44" t="str">
        <x:v>PENDING PHYSICAL SMELL TEST • ZERO EMPIRICAL SIMILARITY PASS</x:v>
      </x:c>
      <x:c r="N110" s="44" t="str">
        <x:v>Cardamom, black pepper, green mandarin and bergamot over iris, geranium, neroli, amber, labdanum and cedar.</x:v>
      </x:c>
    </x:row>
    <x:row r="111" ht="48" customHeight="1">
      <x:c r="A111" s="44" t="str">
        <x:v>PR-L05</x:v>
      </x:c>
      <x:c r="B111" s="44" t="str">
        <x:v>Prada</x:v>
      </x:c>
      <x:c r="C111" s="44" t="str">
        <x:v>L'Homme Prada Water Splash Eau de Toilette</x:v>
      </x:c>
      <x:c r="D111" s="50" t="n">
        <x:v>0.15</x:v>
      </x:c>
      <x:c r="E111" s="44" t="n">
        <x:v>41</x:v>
      </x:c>
      <x:c r="F111" s="44" t="str">
        <x:v>MODERATE</x:v>
      </x:c>
      <x:c r="G111" s="44" t="str">
        <x:v>CLEAN REBUILD</x:v>
      </x:c>
      <x:c r="H111" s="44" t="n">
        <x:v>0</x:v>
      </x:c>
      <x:c r="I111" s="44" t="n">
        <x:v>1</x:v>
      </x:c>
      <x:c r="J111" s="44" t="str">
        <x:v>CB120-PRAD-PR-L05-9999F5CE42</x:v>
      </x:c>
      <x:c r="K111" s="44" t="str">
        <x:v>9999f5ce42f111c053370b94bf37a02b36937cca9571e76c61199878f6669a43</x:v>
      </x:c>
      <x:c r="L111" s="44" t="str">
        <x:v>COMMERCIAL-SIMILARITY COMPUTATIONAL CANDIDATE</x:v>
      </x:c>
      <x:c r="M111" s="44" t="str">
        <x:v>PENDING PHYSICAL SMELL TEST • ZERO EMPIRICAL SIMILARITY PASS</x:v>
      </x:c>
      <x:c r="N111" s="44" t="str">
        <x:v>Neroli, green mandarin and cardamom over iris, ginger, sandalwood, amber and cedar.</x:v>
      </x:c>
    </x:row>
    <x:row r="112" ht="48" customHeight="1">
      <x:c r="A112" s="44" t="str">
        <x:v>PR-N01</x:v>
      </x:c>
      <x:c r="B112" s="44" t="str">
        <x:v>Prada</x:v>
      </x:c>
      <x:c r="C112" s="44" t="str">
        <x:v>Luna Rossa Eau de Toilette</x:v>
      </x:c>
      <x:c r="D112" s="50" t="n">
        <x:v>0.17</x:v>
      </x:c>
      <x:c r="E112" s="44" t="n">
        <x:v>41</x:v>
      </x:c>
      <x:c r="F112" s="44" t="str">
        <x:v>MODERATE</x:v>
      </x:c>
      <x:c r="G112" s="44" t="str">
        <x:v>CLEAN REBUILD</x:v>
      </x:c>
      <x:c r="H112" s="44" t="n">
        <x:v>2</x:v>
      </x:c>
      <x:c r="I112" s="44" t="n">
        <x:v>0</x:v>
      </x:c>
      <x:c r="J112" s="44" t="str">
        <x:v>CB120-PRAD-PR-N01-FE3FA1C20F</x:v>
      </x:c>
      <x:c r="K112" s="44" t="str">
        <x:v>fe3fa1c20f59242bcd2a96db657b48dc2e3ceccb85d72cfd52ab099ad9a3c1ee</x:v>
      </x:c>
      <x:c r="L112" s="44" t="str">
        <x:v>COMMERCIAL-SIMILARITY COMPUTATIONAL CANDIDATE</x:v>
      </x:c>
      <x:c r="M112" s="44" t="str">
        <x:v>PENDING PHYSICAL SMELL TEST • ZERO EMPIRICAL SIMILARITY PASS</x:v>
      </x:c>
      <x:c r="N112" s="44" t="str">
        <x:v>Fresh lavender, vibrant spearmint and persistent amber in a crisp aromatic fougère.</x:v>
      </x:c>
    </x:row>
    <x:row r="113" ht="48" customHeight="1">
      <x:c r="A113" s="44" t="str">
        <x:v>PR-N02</x:v>
      </x:c>
      <x:c r="B113" s="44" t="str">
        <x:v>Prada</x:v>
      </x:c>
      <x:c r="C113" s="44" t="str">
        <x:v>Luna Rossa Sport Eau de Toilette</x:v>
      </x:c>
      <x:c r="D113" s="50" t="n">
        <x:v>0.18</x:v>
      </x:c>
      <x:c r="E113" s="44" t="n">
        <x:v>47</x:v>
      </x:c>
      <x:c r="F113" s="44" t="str">
        <x:v>MODERATE</x:v>
      </x:c>
      <x:c r="G113" s="44" t="str">
        <x:v>BOUNDED REPAIR</x:v>
      </x:c>
      <x:c r="H113" s="44" t="n">
        <x:v>1</x:v>
      </x:c>
      <x:c r="I113" s="44" t="n">
        <x:v>0</x:v>
      </x:c>
      <x:c r="J113" s="44" t="str">
        <x:v>CB120-PRAD-PR-N02-0F5A094183</x:v>
      </x:c>
      <x:c r="K113" s="44" t="str">
        <x:v>0f5a09418353dcbbc02659ab83ba1577561d49795925fd75457915fa60e902aa</x:v>
      </x:c>
      <x:c r="L113" s="44" t="str">
        <x:v>COMMERCIAL-SIMILARITY COMPUTATIONAL CANDIDATE</x:v>
      </x:c>
      <x:c r="M113" s="44" t="str">
        <x:v>PENDING PHYSICAL SMELL TEST • ZERO EMPIRICAL SIMILARITY PASS</x:v>
      </x:c>
      <x:c r="N113" s="44" t="str">
        <x:v>Lavender, juniper, ginger, iris, hay, tobacco, tonka, vanilla, heliotrope and musk.</x:v>
      </x:c>
    </x:row>
    <x:row r="114" ht="48" customHeight="1">
      <x:c r="A114" s="44" t="str">
        <x:v>PR-N03</x:v>
      </x:c>
      <x:c r="B114" s="44" t="str">
        <x:v>Prada</x:v>
      </x:c>
      <x:c r="C114" s="44" t="str">
        <x:v>Luna Rossa Ocean Eau de Toilette</x:v>
      </x:c>
      <x:c r="D114" s="50" t="n">
        <x:v>0.17</x:v>
      </x:c>
      <x:c r="E114" s="44" t="n">
        <x:v>37</x:v>
      </x:c>
      <x:c r="F114" s="44" t="str">
        <x:v>MODERATE</x:v>
      </x:c>
      <x:c r="G114" s="44" t="str">
        <x:v>PRESERVE CANDIDATE</x:v>
      </x:c>
      <x:c r="H114" s="44" t="n">
        <x:v>0</x:v>
      </x:c>
      <x:c r="I114" s="44" t="n">
        <x:v>0</x:v>
      </x:c>
      <x:c r="J114" s="44" t="str">
        <x:v>CB120-PRAD-PR-N03-E27705BCE1</x:v>
      </x:c>
      <x:c r="K114" s="44" t="str">
        <x:v>e27705bce1ca4c299b8810863a3eb3276a0335dc1b7a459790238df6478c92a5</x:v>
      </x:c>
      <x:c r="L114" s="44" t="str">
        <x:v>COMMERCIAL-SIMILARITY COMPUTATIONAL CANDIDATE</x:v>
      </x:c>
      <x:c r="M114" s="44" t="str">
        <x:v>PENDING PHYSICAL SMELL TEST • ZERO EMPIRICAL SIMILARITY PASS</x:v>
      </x:c>
      <x:c r="N114" s="44" t="str">
        <x:v>Bergamot, iris accord and vetiver in a fresh neo-aquatic aromatic fougère.</x:v>
      </x:c>
    </x:row>
    <x:row r="115" ht="48" customHeight="1">
      <x:c r="A115" s="44" t="str">
        <x:v>PR-N04</x:v>
      </x:c>
      <x:c r="B115" s="44" t="str">
        <x:v>Prada</x:v>
      </x:c>
      <x:c r="C115" s="44" t="str">
        <x:v>L'Homme Prada L'Eau Eau de Toilette</x:v>
      </x:c>
      <x:c r="D115" s="50" t="n">
        <x:v>0.15</x:v>
      </x:c>
      <x:c r="E115" s="44" t="n">
        <x:v>42</x:v>
      </x:c>
      <x:c r="F115" s="44" t="str">
        <x:v>MODERATE</x:v>
      </x:c>
      <x:c r="G115" s="44" t="str">
        <x:v>CLEAN REBUILD</x:v>
      </x:c>
      <x:c r="H115" s="44" t="n">
        <x:v>0</x:v>
      </x:c>
      <x:c r="I115" s="44" t="n">
        <x:v>1</x:v>
      </x:c>
      <x:c r="J115" s="44" t="str">
        <x:v>CB120-PRAD-PR-N04-0DE0604C20</x:v>
      </x:c>
      <x:c r="K115" s="44" t="str">
        <x:v>0de0604c2082c1ec3f38ef35e4d9ffd2c7ec821f7707e48a2a66b96fa6392101</x:v>
      </x:c>
      <x:c r="L115" s="44" t="str">
        <x:v>COMMERCIAL-SIMILARITY COMPUTATIONAL CANDIDATE</x:v>
      </x:c>
      <x:c r="M115" s="44" t="str">
        <x:v>PENDING PHYSICAL SMELL TEST • ZERO EMPIRICAL SIMILARITY PASS</x:v>
      </x:c>
      <x:c r="N115" s="44" t="str">
        <x:v>Amber and iris with red ginger, neroli, fresh green notes, sandalwood and softened cedar.</x:v>
      </x:c>
    </x:row>
    <x:row r="116" ht="48" customHeight="1">
      <x:c r="A116" s="44" t="str">
        <x:v>PR-N05</x:v>
      </x:c>
      <x:c r="B116" s="44" t="str">
        <x:v>Prada</x:v>
      </x:c>
      <x:c r="C116" s="44" t="str">
        <x:v>Prada Amber Pour Homme Intense Eau de Parfum</x:v>
      </x:c>
      <x:c r="D116" s="50" t="n">
        <x:v>0.23</x:v>
      </x:c>
      <x:c r="E116" s="44" t="n">
        <x:v>29</x:v>
      </x:c>
      <x:c r="F116" s="44" t="str">
        <x:v>STREAMLINED</x:v>
      </x:c>
      <x:c r="G116" s="44" t="str">
        <x:v>HOLD</x:v>
      </x:c>
      <x:c r="H116" s="44" t="n">
        <x:v>0</x:v>
      </x:c>
      <x:c r="I116" s="44" t="n">
        <x:v>1</x:v>
      </x:c>
      <x:c r="J116" s="44" t="str">
        <x:v>CB120-PRAD-PR-N05-628D1820AE</x:v>
      </x:c>
      <x:c r="K116" s="44" t="str">
        <x:v>628d1820ae09c43a17f6bb50ecd6016ab97adc6f4ad17bd3a358056c7ad2c08a</x:v>
      </x:c>
      <x:c r="L116" s="44" t="str">
        <x:v>ARCHIVED COMPUTATIONAL FORMULA • HOLD • DO NOT BATCH</x:v>
      </x:c>
      <x:c r="M116" s="44" t="str">
        <x:v>HOLD • REFERENCE / VERSION / DATA LOCK MISSING</x:v>
      </x:c>
      <x:c r="N116" s="44" t="str">
        <x:v>A pared-back, darker and more concentrated amber interpretation of Prada Amber Pour Homme.</x:v>
      </x:c>
    </x:row>
    <x:row r="117" ht="48" customHeight="1">
      <x:c r="A117" s="44" t="str">
        <x:v>PR-N06</x:v>
      </x:c>
      <x:c r="B117" s="44" t="str">
        <x:v>Prada</x:v>
      </x:c>
      <x:c r="C117" s="44" t="str">
        <x:v>Paradigme Le Parfum</x:v>
      </x:c>
      <x:c r="D117" s="50" t="n">
        <x:v>0.25</x:v>
      </x:c>
      <x:c r="E117" s="44" t="n">
        <x:v>35</x:v>
      </x:c>
      <x:c r="F117" s="44" t="str">
        <x:v>MODERATE</x:v>
      </x:c>
      <x:c r="G117" s="44" t="str">
        <x:v>BOUNDED REPAIR</x:v>
      </x:c>
      <x:c r="H117" s="44" t="n">
        <x:v>1</x:v>
      </x:c>
      <x:c r="I117" s="44" t="n">
        <x:v>0</x:v>
      </x:c>
      <x:c r="J117" s="44" t="str">
        <x:v>CB120-PRAD-PR-N06-4AFD28191B</x:v>
      </x:c>
      <x:c r="K117" s="44" t="str">
        <x:v>4afd28191b7c7d26c0c6b7a809e80dc90d72e7f957aa9f18764d9453c17808c7</x:v>
      </x:c>
      <x:c r="L117" s="44" t="str">
        <x:v>COMMERCIAL-SIMILARITY COMPUTATIONAL CANDIDATE</x:v>
      </x:c>
      <x:c r="M117" s="44" t="str">
        <x:v>PENDING PHYSICAL SMELL TEST • ZERO EMPIRICAL SIMILARITY PASS</x:v>
      </x:c>
      <x:c r="N117" s="44" t="str">
        <x:v>Base/opening: warm ambery woods with Peru balsam, benzoin and guaiac. Heart: leathery vanilla and gourmand geranium. Base projection: Amberever-style high-diffusion amber woods.</x:v>
      </x:c>
    </x:row>
    <x:row r="118" ht="48" customHeight="1">
      <x:c r="A118" s="44" t="str">
        <x:v>PR-N07</x:v>
      </x:c>
      <x:c r="B118" s="44" t="str">
        <x:v>Prada</x:v>
      </x:c>
      <x:c r="C118" s="44" t="str">
        <x:v>Day For Night Eau de Parfum</x:v>
      </x:c>
      <x:c r="D118" s="50" t="n">
        <x:v>0.25</x:v>
      </x:c>
      <x:c r="E118" s="44" t="n">
        <x:v>30</x:v>
      </x:c>
      <x:c r="F118" s="44" t="str">
        <x:v>STREAMLINED</x:v>
      </x:c>
      <x:c r="G118" s="44" t="str">
        <x:v>PRESERVE CANDIDATE</x:v>
      </x:c>
      <x:c r="H118" s="44" t="n">
        <x:v>0</x:v>
      </x:c>
      <x:c r="I118" s="44" t="n">
        <x:v>1</x:v>
      </x:c>
      <x:c r="J118" s="44" t="str">
        <x:v>CB120-PRAD-PR-N07-5D0254C0BA</x:v>
      </x:c>
      <x:c r="K118" s="44" t="str">
        <x:v>5d0254c0ba889a2baecfe66d117663146e7160e7b8dced345c86d2b345b49c79</x:v>
      </x:c>
      <x:c r="L118" s="44" t="str">
        <x:v>COMMERCIAL-SIMILARITY COMPUTATIONAL CANDIDATE</x:v>
      </x:c>
      <x:c r="M118" s="44" t="str">
        <x:v>PENDING PHYSICAL SMELL TEST • ZERO EMPIRICAL SIMILARITY PASS</x:v>
      </x:c>
      <x:c r="N118" s="44" t="str">
        <x:v>Ambery, woody and leathery composition with patchouli and sandalwood.</x:v>
      </x:c>
    </x:row>
    <x:row r="119" ht="48" customHeight="1">
      <x:c r="A119" s="44" t="str">
        <x:v>PR-N08</x:v>
      </x:c>
      <x:c r="B119" s="44" t="str">
        <x:v>Prada</x:v>
      </x:c>
      <x:c r="C119" s="44" t="str">
        <x:v>Cargo de Nuit Eau de Parfum</x:v>
      </x:c>
      <x:c r="D119" s="50" t="n">
        <x:v>0.22</x:v>
      </x:c>
      <x:c r="E119" s="44" t="n">
        <x:v>26</x:v>
      </x:c>
      <x:c r="F119" s="44" t="str">
        <x:v>STREAMLINED</x:v>
      </x:c>
      <x:c r="G119" s="44" t="str">
        <x:v>BOUNDED REPAIR</x:v>
      </x:c>
      <x:c r="H119" s="44" t="n">
        <x:v>0</x:v>
      </x:c>
      <x:c r="I119" s="44" t="n">
        <x:v>0</x:v>
      </x:c>
      <x:c r="J119" s="44" t="str">
        <x:v>CB120-PRAD-PR-N08-7E22044EEB</x:v>
      </x:c>
      <x:c r="K119" s="44" t="str">
        <x:v>7e22044eebf330c949164170901b1edfd552c7ff59a6c3049ace5ad2e0861bb0</x:v>
      </x:c>
      <x:c r="L119" s="44" t="str">
        <x:v>COMMERCIAL-SIMILARITY COMPUTATIONAL CANDIDATE</x:v>
      </x:c>
      <x:c r="M119" s="44" t="str">
        <x:v>PENDING PHYSICAL SMELL TEST • ZERO EMPIRICAL SIMILARITY PASS</x:v>
      </x:c>
      <x:c r="N119" s="44" t="str">
        <x:v>Sparkling aldehydes, almondy coumarin and woody Ambrofix in a mineral musky structure.</x:v>
      </x:c>
    </x:row>
    <x:row r="120" ht="48" customHeight="1">
      <x:c r="A120" s="44" t="str">
        <x:v>PR-N09</x:v>
      </x:c>
      <x:c r="B120" s="44" t="str">
        <x:v>Prada</x:v>
      </x:c>
      <x:c r="C120" s="44" t="str">
        <x:v>Marienbad Eau de Parfum</x:v>
      </x:c>
      <x:c r="D120" s="50" t="n">
        <x:v>0.25</x:v>
      </x:c>
      <x:c r="E120" s="44" t="n">
        <x:v>26</x:v>
      </x:c>
      <x:c r="F120" s="44" t="str">
        <x:v>STREAMLINED</x:v>
      </x:c>
      <x:c r="G120" s="44" t="str">
        <x:v>BOUNDED REPAIR</x:v>
      </x:c>
      <x:c r="H120" s="44" t="n">
        <x:v>0</x:v>
      </x:c>
      <x:c r="I120" s="44" t="n">
        <x:v>1</x:v>
      </x:c>
      <x:c r="J120" s="44" t="str">
        <x:v>CB120-PRAD-PR-N09-CB2416DCA0</x:v>
      </x:c>
      <x:c r="K120" s="44" t="str">
        <x:v>cb2416dca0d3cfea60a2622e71711a16c12d38862bdd87c79e60e8c3fd4800d0</x:v>
      </x:c>
      <x:c r="L120" s="44" t="str">
        <x:v>COMMERCIAL-SIMILARITY COMPUTATIONAL CANDIDATE</x:v>
      </x:c>
      <x:c r="M120" s="44" t="str">
        <x:v>PENDING PHYSICAL SMELL TEST • ZERO EMPIRICAL SIMILARITY PASS</x:v>
      </x:c>
      <x:c r="N120" s="44" t="str">
        <x:v>Incense, amber accord and musk in a dark, enveloping mineral-resin atmosphere.</x:v>
      </x:c>
    </x:row>
    <x:row r="121" ht="48" customHeight="1">
      <x:c r="A121" s="44" t="str">
        <x:v>PR-N10</x:v>
      </x:c>
      <x:c r="B121" s="44" t="str">
        <x:v>Prada</x:v>
      </x:c>
      <x:c r="C121" s="44" t="str">
        <x:v>Infusion de Cèdre Eau de Parfum</x:v>
      </x:c>
      <x:c r="D121" s="50" t="n">
        <x:v>0.15</x:v>
      </x:c>
      <x:c r="E121" s="44" t="n">
        <x:v>24</x:v>
      </x:c>
      <x:c r="F121" s="44" t="str">
        <x:v>STREAMLINED</x:v>
      </x:c>
      <x:c r="G121" s="44" t="str">
        <x:v>BOUNDED REPAIR</x:v>
      </x:c>
      <x:c r="H121" s="44" t="n">
        <x:v>0</x:v>
      </x:c>
      <x:c r="I121" s="44" t="n">
        <x:v>0</x:v>
      </x:c>
      <x:c r="J121" s="44" t="str">
        <x:v>CB120-PRAD-PR-N10-9699AF235B</x:v>
      </x:c>
      <x:c r="K121" s="44" t="str">
        <x:v>9699af235bd86f57b0fb97534f437ce397096b6e11c9e8b407f3a4e5cc331110</x:v>
      </x:c>
      <x:c r="L121" s="44" t="str">
        <x:v>COMMERCIAL-SIMILARITY COMPUTATIONAL CANDIDATE</x:v>
      </x:c>
      <x:c r="M121" s="44" t="str">
        <x:v>PENDING PHYSICAL SMELL TEST • ZERO EMPIRICAL SIMILARITY PASS</x:v>
      </x:c>
      <x:c r="N121" s="44" t="str">
        <x:v>Cedarwood, mandarin, benzoin and incense immersed in musks and citrus.</x:v>
      </x:c>
    </x:row>
    <x:row r="122" ht="48" customHeight="1">
      <x:c r="A122" s="44" t="str">
        <x:v>PR-N11</x:v>
      </x:c>
      <x:c r="B122" s="44" t="str">
        <x:v>Prada</x:v>
      </x:c>
      <x:c r="C122" s="44" t="str">
        <x:v>Infusion d'Iris Eau de Parfum</x:v>
      </x:c>
      <x:c r="D122" s="50" t="n">
        <x:v>0.15</x:v>
      </x:c>
      <x:c r="E122" s="44" t="n">
        <x:v>27</x:v>
      </x:c>
      <x:c r="F122" s="44" t="str">
        <x:v>STREAMLINED</x:v>
      </x:c>
      <x:c r="G122" s="44" t="str">
        <x:v>BOUNDED REPAIR</x:v>
      </x:c>
      <x:c r="H122" s="44" t="n">
        <x:v>0</x:v>
      </x:c>
      <x:c r="I122" s="44" t="n">
        <x:v>0</x:v>
      </x:c>
      <x:c r="J122" s="44" t="str">
        <x:v>CB120-PRAD-PR-N11-09AF4A942A</x:v>
      </x:c>
      <x:c r="K122" s="44" t="str">
        <x:v>09af4a942a716286df2fc8b3db18117a33e255aa3d705556de05c5e0c3a01d2a</x:v>
      </x:c>
      <x:c r="L122" s="44" t="str">
        <x:v>COMMERCIAL-SIMILARITY COMPUTATIONAL CANDIDATE</x:v>
      </x:c>
      <x:c r="M122" s="44" t="str">
        <x:v>PENDING PHYSICAL SMELL TEST • ZERO EMPIRICAL SIMILARITY PASS</x:v>
      </x:c>
      <x:c r="N122" s="44" t="str">
        <x:v>Iris pallida, neroli, mandarin and benzoin in Prada's second-skin musk-citrus solution.</x:v>
      </x:c>
    </x:row>
    <x:row r="123" ht="48" customHeight="1">
      <x:c r="A123" s="44" t="str">
        <x:v>PR-N12</x:v>
      </x:c>
      <x:c r="B123" s="44" t="str">
        <x:v>Prada</x:v>
      </x:c>
      <x:c r="C123" s="44" t="str">
        <x:v>Infusion de Santal Chai Eau de Parfum</x:v>
      </x:c>
      <x:c r="D123" s="50" t="n">
        <x:v>0.18</x:v>
      </x:c>
      <x:c r="E123" s="44" t="n">
        <x:v>28</x:v>
      </x:c>
      <x:c r="F123" s="44" t="str">
        <x:v>STREAMLINED</x:v>
      </x:c>
      <x:c r="G123" s="44" t="str">
        <x:v>BOUNDED REPAIR</x:v>
      </x:c>
      <x:c r="H123" s="44" t="n">
        <x:v>0</x:v>
      </x:c>
      <x:c r="I123" s="44" t="n">
        <x:v>0</x:v>
      </x:c>
      <x:c r="J123" s="44" t="str">
        <x:v>CB120-PRAD-PR-N12-88DBF1E9A4</x:v>
      </x:c>
      <x:c r="K123" s="44" t="str">
        <x:v>88dbf1e9a4fb3bce47e8d46513ad45160ab42a1ff101e0e4fa8da67d9165aa6a</x:v>
      </x:c>
      <x:c r="L123" s="44" t="str">
        <x:v>COMMERCIAL-SIMILARITY COMPUTATIONAL CANDIDATE</x:v>
      </x:c>
      <x:c r="M123" s="44" t="str">
        <x:v>PENDING PHYSICAL SMELL TEST • ZERO EMPIRICAL SIMILARITY PASS</x:v>
      </x:c>
      <x:c r="N123" s="44" t="str">
        <x:v>Chai latte accord, creamy sandalwood, citrus and musks in an intimate woody-spicy structure.</x:v>
      </x:c>
    </x:row>
    <x:row r="124" ht="48" customHeight="1">
      <x:c r="A124" s="44" t="str">
        <x:v>PR-N13</x:v>
      </x:c>
      <x:c r="B124" s="44" t="str">
        <x:v>Prada</x:v>
      </x:c>
      <x:c r="C124" s="44" t="str">
        <x:v>Infusion de Vanille Eau de Parfum</x:v>
      </x:c>
      <x:c r="D124" s="50" t="n">
        <x:v>0.18</x:v>
      </x:c>
      <x:c r="E124" s="44" t="n">
        <x:v>28</x:v>
      </x:c>
      <x:c r="F124" s="44" t="str">
        <x:v>STREAMLINED</x:v>
      </x:c>
      <x:c r="G124" s="44" t="str">
        <x:v>BOUNDED REPAIR</x:v>
      </x:c>
      <x:c r="H124" s="44" t="n">
        <x:v>1</x:v>
      </x:c>
      <x:c r="I124" s="44" t="n">
        <x:v>0</x:v>
      </x:c>
      <x:c r="J124" s="44" t="str">
        <x:v>CB120-PRAD-PR-N13-8CEE645DDB</x:v>
      </x:c>
      <x:c r="K124" s="44" t="str">
        <x:v>8cee645ddb41a10451efb58ec08bb16f940e441cd4d111004aa38e66a80d07b8</x:v>
      </x:c>
      <x:c r="L124" s="44" t="str">
        <x:v>COMMERCIAL-SIMILARITY COMPUTATIONAL CANDIDATE</x:v>
      </x:c>
      <x:c r="M124" s="44" t="str">
        <x:v>PENDING PHYSICAL SMELL TEST • ZERO EMPIRICAL SIMILARITY PASS</x:v>
      </x:c>
      <x:c r="N124" s="44" t="str">
        <x:v>Smoky vanilla infusion with bergamot, neroli, angelica seed, woods and second-skin musks.</x:v>
      </x:c>
    </x:row>
    <x:row r="125" ht="48" customHeight="1">
      <x:c r="A125" s="44" t="str">
        <x:v>PR-N14</x:v>
      </x:c>
      <x:c r="B125" s="44" t="str">
        <x:v>Prada</x:v>
      </x:c>
      <x:c r="C125" s="44" t="str">
        <x:v>Soleil au Zénith Eau de Parfum</x:v>
      </x:c>
      <x:c r="D125" s="50" t="n">
        <x:v>0.22</x:v>
      </x:c>
      <x:c r="E125" s="44" t="n">
        <x:v>30</x:v>
      </x:c>
      <x:c r="F125" s="44" t="str">
        <x:v>STREAMLINED</x:v>
      </x:c>
      <x:c r="G125" s="44" t="str">
        <x:v>BOUNDED REPAIR</x:v>
      </x:c>
      <x:c r="H125" s="44" t="n">
        <x:v>2</x:v>
      </x:c>
      <x:c r="I125" s="44" t="n">
        <x:v>0</x:v>
      </x:c>
      <x:c r="J125" s="44" t="str">
        <x:v>CB120-PRAD-PR-N14-CD9ABBFA95</x:v>
      </x:c>
      <x:c r="K125" s="44" t="str">
        <x:v>cd9abbfa9589fd7c7c30a77537cd01160a1c595c8537980b52b390d562c5c361</x:v>
      </x:c>
      <x:c r="L125" s="44" t="str">
        <x:v>COMMERCIAL-SIMILARITY COMPUTATIONAL CANDIDATE</x:v>
      </x:c>
      <x:c r="M125" s="44" t="str">
        <x:v>PENDING PHYSICAL SMELL TEST • ZERO EMPIRICAL SIMILARITY PASS</x:v>
      </x:c>
      <x:c r="N125" s="44" t="str">
        <x:v>Ylang-ylang, milky sandalwood and leathery cypriol with solar spicy warmth.</x:v>
      </x:c>
    </x:row>
  </x:sheetData>
  <x:mergeCells>
    <x:mergeCell ref="A1:N1"/>
    <x:mergeCell ref="A2:N3"/>
  </x:mergeCells>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58" hidden="0" customWidth="1"/>
    <x:col min="3" max="3" width="46" hidden="0" customWidth="1"/>
    <x:col min="4" max="4" width="4" hidden="0" customWidth="1"/>
    <x:col min="5" max="5" width="25" hidden="0" customWidth="1"/>
    <x:col min="6" max="6" width="62" hidden="0" customWidth="1"/>
    <x:col min="7" max="7" width="38" hidden="0" customWidth="1"/>
    <x:col min="8" max="8" width="45" hidden="0" customWidth="1"/>
    <x:col min="9" max="9" width="4" hidden="0" customWidth="1"/>
    <x:col min="10" max="10" width="22" hidden="0" customWidth="1"/>
    <x:col min="11" max="11" width="16" hidden="0" customWidth="1"/>
    <x:col min="12" max="12" width="16" hidden="0" customWidth="1"/>
    <x:col min="13" max="13" width="16" hidden="0" customWidth="1"/>
    <x:col min="14" max="14" width="16" hidden="0" customWidth="1"/>
  </x:cols>
  <x:sheetData>
    <x:row r="1" ht="31" customHeight="1">
      <x:c r="A1" s="55" t="str">
        <x:v>KENNY • CURRENT PERFUMERY INVENTORY MASTER • AUGUST 2026 • V5</x:v>
      </x:c>
      <x:c r="B1" s="55"/>
      <x:c r="C1" s="55"/>
      <x:c r="D1" s="55"/>
      <x:c r="E1" s="55"/>
      <x:c r="F1" s="55"/>
      <x:c r="G1" s="55"/>
      <x:c r="H1" s="55"/>
      <x:c r="I1" s="55"/>
      <x:c r="J1" s="55"/>
      <x:c r="K1" s="55"/>
      <x:c r="L1" s="55"/>
      <x:c r="M1" s="55"/>
      <x:c r="N1" s="55"/>
    </x:row>
    <x:row r="2" ht="34" customHeight="1">
      <x:c r="A2" s="60" t="str">
        <x:v>V5 adds a missing-chemical priority system for high-value accord development. Priority is an action order, not a predicted beauty score. Ambrettolide is design-available under planned acquisition; physical receipt remains open.</x:v>
      </x:c>
      <x:c r="B2" s="60"/>
      <x:c r="C2" s="60"/>
      <x:c r="D2" s="60"/>
      <x:c r="E2" s="60"/>
      <x:c r="F2" s="60"/>
      <x:c r="G2" s="60"/>
      <x:c r="H2" s="60"/>
      <x:c r="I2" s="60"/>
      <x:c r="J2" s="60"/>
      <x:c r="K2" s="60"/>
      <x:c r="L2" s="60"/>
      <x:c r="M2" s="60"/>
      <x:c r="N2" s="60"/>
    </x:row>
    <x:row r="3" ht="34" customHeight="1">
      <x:c r="A3" s="60"/>
      <x:c r="B3" s="60"/>
      <x:c r="C3" s="60"/>
      <x:c r="D3" s="60"/>
      <x:c r="E3" s="60"/>
      <x:c r="F3" s="60"/>
      <x:c r="G3" s="60"/>
      <x:c r="H3" s="60"/>
      <x:c r="I3" s="60"/>
      <x:c r="J3" s="60"/>
      <x:c r="K3" s="60"/>
      <x:c r="L3" s="60"/>
      <x:c r="M3" s="60"/>
      <x:c r="N3" s="60"/>
    </x:row>
    <x:row r="5">
      <x:c r="A5" s="64" t="str">
        <x:v>Inventory rows</x:v>
      </x:c>
      <x:c r="B5" s="68" t="n">
        <x:v>280</x:v>
      </x:c>
      <x:c r="C5" s="64" t="str">
        <x:v>Rows beginning HAVE</x:v>
      </x:c>
      <x:c r="D5" s="68" t="n">
        <x:v>230</x:v>
      </x:c>
      <x:c r="E5" s="64" t="str">
        <x:v>Gap / out-of-stock rows</x:v>
      </x:c>
      <x:c r="F5" s="68" t="n">
        <x:v>38</x:v>
      </x:c>
      <x:c r="G5" s="64" t="str">
        <x:v>Banned</x:v>
      </x:c>
      <x:c r="H5" s="68" t="n">
        <x:v>2</x:v>
      </x:c>
      <x:c r="J5" s="72" t="str">
        <x:v>EXECUTION RULES
• A listed dilution is not assumed to exist when the user owns only neat material.
• Different extracts are not aliases: CO2 ≠ absolute ≠ EO ≠ resinoid.
• Peppermint ≠ spearmint; Himalayan cedar ≠ Atlas cedar; black pepper ≠ white pepper.
• Product-basis, volume-grade, FTEC and trade bases never receive guessed active fractions.
• Every formula must name the exact stock strength actually used.</x:v>
      </x:c>
      <x:c r="K5" s="72"/>
      <x:c r="L5" s="72"/>
      <x:c r="M5" s="72"/>
      <x:c r="N5" s="72"/>
    </x:row>
    <x:row r="6">
      <x:c r="A6" s="64" t="str">
        <x:v>Detail-open rows</x:v>
      </x:c>
      <x:c r="B6" s="68" t="n">
        <x:v>23</x:v>
      </x:c>
      <x:c r="C6" s="64" t="str">
        <x:v>Product-basis rows</x:v>
      </x:c>
      <x:c r="D6" s="68" t="n">
        <x:v>13</x:v>
      </x:c>
      <x:c r="E6" s="64" t="str">
        <x:v>New canonical rows</x:v>
      </x:c>
      <x:c r="F6" s="68" t="n">
        <x:v>30</x:v>
      </x:c>
      <x:c r="G6" s="64" t="str">
        <x:v>Raw update assertions</x:v>
      </x:c>
      <x:c r="H6" s="68" t="n">
        <x:v>102</x:v>
      </x:c>
      <x:c r="J6" s="72"/>
      <x:c r="K6" s="72"/>
      <x:c r="L6" s="72"/>
      <x:c r="M6" s="72"/>
      <x:c r="N6" s="72"/>
    </x:row>
    <x:row r="7">
      <x:c r="A7" s="64" t="str">
        <x:v>Formula-impact materials</x:v>
      </x:c>
      <x:c r="B7" s="68" t="n">
        <x:v>74</x:v>
      </x:c>
      <x:c r="C7" s="64" t="str">
        <x:v>FTEC/Fleuressence policy</x:v>
      </x:c>
      <x:c r="D7" s="68" t="str">
        <x:v>BANNED</x:v>
      </x:c>
      <x:c r="E7" s="64" t="str">
        <x:v>Molecule Iris policy</x:v>
      </x:c>
      <x:c r="F7" s="68" t="str">
        <x:v>BANNED</x:v>
      </x:c>
      <x:c r="G7" s="64" t="str">
        <x:v>Empirical formula releases</x:v>
      </x:c>
      <x:c r="H7" s="68" t="n">
        <x:v>0</x:v>
      </x:c>
      <x:c r="J7" s="72"/>
      <x:c r="K7" s="72"/>
      <x:c r="L7" s="72"/>
      <x:c r="M7" s="72"/>
      <x:c r="N7" s="72"/>
    </x:row>
    <x:row r="9">
      <x:c r="A9" s="76" t="str">
        <x:v>KEY CLARIFICATIONS</x:v>
      </x:c>
      <x:c r="B9" s="76"/>
      <x:c r="C9" s="76"/>
      <x:c r="D9" s="76"/>
      <x:c r="E9" s="76"/>
      <x:c r="F9" s="76"/>
      <x:c r="G9" s="76"/>
      <x:c r="H9" s="76"/>
      <x:c r="I9" s="76"/>
      <x:c r="J9" s="76"/>
      <x:c r="K9" s="76"/>
      <x:c r="L9" s="76"/>
      <x:c r="M9" s="76"/>
      <x:c r="N9" s="76"/>
    </x:row>
    <x:row r="10">
      <x:c r="A10" s="81" t="str">
        <x:v>Topic</x:v>
      </x:c>
      <x:c r="B10" s="81" t="str">
        <x:v>Clarification</x:v>
      </x:c>
      <x:c r="C10" s="81" t="str">
        <x:v>Inventory consequence</x:v>
      </x:c>
      <x:c r="E10" s="81" t="str">
        <x:v>Source topic</x:v>
      </x:c>
      <x:c r="F10" s="81" t="str">
        <x:v>URL</x:v>
      </x:c>
      <x:c r="G10" s="81" t="str">
        <x:v>Use</x:v>
      </x:c>
      <x:c r="H10" s="81" t="str">
        <x:v>Boundary</x:v>
      </x:c>
    </x:row>
    <x:row r="11" ht="48" customHeight="1">
      <x:c r="A11" s="44" t="str">
        <x:v>Civet Base</x:v>
      </x:c>
      <x:c r="B11" s="44" t="str">
        <x:v>Separate animalic accord. It is neither Castoreum nor Costus Olifac.</x:v>
      </x:c>
      <x:c r="C11" s="44" t="str">
        <x:v>Keep as gap.</x:v>
      </x:c>
      <x:c r="E11" s="44" t="str">
        <x:v>Jasmonyl LG</x:v>
      </x:c>
      <x:c r="F11" s="44" t="str">
        <x:v>https://www.givaudan.com/fragrance-beauty/fragrance-ingredients-business/fragrance-molecules/jasmonyltm-lg</x:v>
      </x:c>
      <x:c r="G11" s="44" t="str">
        <x:v>Identity / odor family</x:v>
      </x:c>
      <x:c r="H11" s="44" t="str">
        <x:v>Not a substitute-equivalence claim.</x:v>
      </x:c>
    </x:row>
    <x:row r="12" ht="48" customHeight="1">
      <x:c r="A12" s="44" t="str">
        <x:v>Jasmonyl / Jasmonyl LG</x:v>
      </x:c>
      <x:c r="B12" s="44" t="str">
        <x:v>Distinct lactonic jasmine material with green/mushroom facets; not the same as Jessemal, cis-Jasmone or dihydrojasmone.</x:v>
      </x:c>
      <x:c r="C12" s="44" t="str">
        <x:v>Keep as gap unless exact material is acquired.</x:v>
      </x:c>
      <x:c r="E12" s="44" t="str">
        <x:v>Vetikon</x:v>
      </x:c>
      <x:c r="F12" s="44" t="str">
        <x:v>https://www.petorosealcones.com/product/valakon/</x:v>
      </x:c>
      <x:c r="G12" s="44" t="str">
        <x:v>CAS / identity</x:v>
      </x:c>
      <x:c r="H12" s="44" t="str">
        <x:v>Supplier page; verify your own label.</x:v>
      </x:c>
    </x:row>
    <x:row r="13" ht="48" customHeight="1">
      <x:c r="A13" s="44" t="str">
        <x:v>Cedarwood Himalayan vs Atlas</x:v>
      </x:c>
      <x:c r="B13" s="44" t="str">
        <x:v>Different cedar species/materials.</x:v>
      </x:c>
      <x:c r="C13" s="44" t="str">
        <x:v>Do not relabel Himalayan as Atlas.</x:v>
      </x:c>
      <x:c r="E13" s="44" t="str">
        <x:v>PADMA</x:v>
      </x:c>
      <x:c r="F13" s="44" t="str">
        <x:v>https://pellwall.com/products/padma</x:v>
      </x:c>
      <x:c r="G13" s="44" t="str">
        <x:v>Canonical name / CAS</x:v>
      </x:c>
      <x:c r="H13" s="44" t="str">
        <x:v>Use exact stock and label.</x:v>
      </x:c>
    </x:row>
    <x:row r="14" ht="48" customHeight="1">
      <x:c r="A14" s="44" t="str">
        <x:v>Galbanum EO vs Resinoid</x:v>
      </x:c>
      <x:c r="B14" s="44" t="str">
        <x:v>Different extraction and odor profile.</x:v>
      </x:c>
      <x:c r="C14" s="44" t="str">
        <x:v>EO is stocked; resinoid remains a gap.</x:v>
      </x:c>
      <x:c r="E14" s="44" t="str">
        <x:v>Nerolin Bromelia</x:v>
      </x:c>
      <x:c r="F14" s="44" t="str">
        <x:v>https://www.swaroopfragrances.com/product/nerolin-bromelia</x:v>
      </x:c>
      <x:c r="G14" s="44" t="str">
        <x:v>CAS / identity</x:v>
      </x:c>
      <x:c r="H14" s="44" t="str">
        <x:v>Verify physical form and supplier assay.</x:v>
      </x:c>
    </x:row>
    <x:row r="15" ht="48" customHeight="1">
      <x:c r="A15" s="44" t="str">
        <x:v>Coffee Absolute vs Coffee CO2</x:v>
      </x:c>
      <x:c r="B15" s="44" t="str">
        <x:v>Different extracts.</x:v>
      </x:c>
      <x:c r="C15" s="44" t="str">
        <x:v>Absolute is stocked; CO2 remains a gap.</x:v>
      </x:c>
    </x:row>
    <x:row r="16" ht="48" customHeight="1">
      <x:c r="A16" s="44" t="str">
        <x:v>Anise EO vs Licorice Accord</x:v>
      </x:c>
      <x:c r="B16" s="44" t="str">
        <x:v>Anise can support licorice but is not a finished licorice accord.</x:v>
      </x:c>
      <x:c r="C16" s="44" t="str">
        <x:v>Keep accord as gap.</x:v>
      </x:c>
    </x:row>
    <x:row r="17" ht="48" customHeight="1">
      <x:c r="A17" s="44" t="str">
        <x:v>Hexyl Acetate vs Pear Accord</x:v>
      </x:c>
      <x:c r="B17" s="44" t="str">
        <x:v>Hexyl acetate is a fruit ester, not a complete pear accord.</x:v>
      </x:c>
      <x:c r="C17" s="44" t="str">
        <x:v>Keep pear accord as gap.</x:v>
      </x:c>
    </x:row>
    <x:row r="18" ht="48" customHeight="1">
      <x:c r="A18" s="44" t="str">
        <x:v>2-Acetylpyrazine vs Hazelnut Accord</x:v>
      </x:c>
      <x:c r="B18" s="44" t="str">
        <x:v>Roasted/nutty material, not a complete hazelnut accord.</x:v>
      </x:c>
      <x:c r="C18" s="44" t="str">
        <x:v>Verify stock; keep accord as gap.</x:v>
      </x:c>
    </x:row>
    <x:row r="19" ht="48" customHeight="1">
      <x:c r="A19" s="44" t="str">
        <x:v>PADMA</x:v>
      </x:c>
      <x:c r="B19" s="44" t="str">
        <x:v>Canonical name: Phenylacetaldehyde Dimethyl Acetal, CAS 101-48-4.</x:v>
      </x:c>
      <x:c r="C19" s="44" t="str">
        <x:v>Use exact label and stock.</x:v>
      </x:c>
    </x:row>
    <x:row r="20" ht="48" customHeight="1">
      <x:c r="A20" s="44" t="str">
        <x:v>Vetikon</x:v>
      </x:c>
      <x:c r="B20" s="44" t="str">
        <x:v>CAS 7403-42-1; vetiver-like floral/woody ketone.</x:v>
      </x:c>
      <x:c r="C20" s="44" t="str">
        <x:v>Use as its own material.</x:v>
      </x:c>
    </x:row>
    <x:row r="21" ht="48" customHeight="1">
      <x:c r="A21" s="44" t="str">
        <x:v>Nerolin Bromelia</x:v>
      </x:c>
      <x:c r="B21" s="44" t="str">
        <x:v>2-Ethoxynaphthalene, CAS 93-18-5; orange-blossom/floral material.</x:v>
      </x:c>
      <x:c r="C21" s="44" t="str">
        <x:v>Use exact label and physical form.</x:v>
      </x:c>
    </x:row>
    <x:row r="22">
      <x:c r="A22" s="129" t="str">
        <x:v>V5 HEDONIC-PRIORITY CONTROL</x:v>
      </x:c>
      <x:c r="B22" s="129"/>
      <x:c r="C22" s="129"/>
      <x:c r="D22" s="129"/>
      <x:c r="E22" s="129"/>
      <x:c r="F22" s="129"/>
      <x:c r="G22" s="129"/>
      <x:c r="H22" s="129"/>
      <x:c r="I22" s="129"/>
      <x:c r="J22" s="129"/>
    </x:row>
    <x:row r="23">
      <x:c r="A23" s="92" t="str">
        <x:v>Ambrettolide design state</x:v>
      </x:c>
      <x:c r="B23" s="92" t="str">
        <x:v>ASSUMED AVAILABLE</x:v>
      </x:c>
      <x:c r="C23" s="92" t="str">
        <x:v>Expected stock</x:v>
      </x:c>
      <x:c r="D23" s="92" t="str">
        <x:v>10% in DPG</x:v>
      </x:c>
      <x:c r="E23" s="92" t="str">
        <x:v>Physical receipt</x:v>
      </x:c>
      <x:c r="F23" s="92" t="str">
        <x:v>PENDING</x:v>
      </x:c>
      <x:c r="G23" s="92"/>
      <x:c r="H23" s="92"/>
      <x:c r="I23" s="92"/>
      <x:c r="J23" s="92"/>
    </x:row>
    <x:row r="24">
      <x:c r="A24" s="92" t="str">
        <x:v>Priority lanes</x:v>
      </x:c>
      <x:c r="B24" s="92" t="n">
        <x:v>2</x:v>
      </x:c>
      <x:c r="C24" s="92" t="str">
        <x:v>Direct portfolio gaps</x:v>
      </x:c>
      <x:c r="D24" s="92" t="n">
        <x:v>14</x:v>
      </x:c>
      <x:c r="E24" s="92" t="str">
        <x:v>Architectural expansions</x:v>
      </x:c>
      <x:c r="F24" s="92" t="n">
        <x:v>21</x:v>
      </x:c>
      <x:c r="G24" s="92"/>
      <x:c r="H24" s="92"/>
      <x:c r="I24" s="92"/>
      <x:c r="J24" s="92"/>
    </x:row>
    <x:row r="25">
      <x:c r="A25" s="92" t="str">
        <x:v>Hedonic observations</x:v>
      </x:c>
      <x:c r="B25" s="92" t="n">
        <x:v>0</x:v>
      </x:c>
      <x:c r="C25" s="92" t="str">
        <x:v>Broad-appeal results</x:v>
      </x:c>
      <x:c r="D25" s="92" t="n">
        <x:v>0</x:v>
      </x:c>
      <x:c r="E25" s="92" t="str">
        <x:v>Formula revisions</x:v>
      </x:c>
      <x:c r="F25" s="92" t="n">
        <x:v>0</x:v>
      </x:c>
      <x:c r="G25" s="92"/>
      <x:c r="H25" s="92"/>
      <x:c r="I25" s="92"/>
      <x:c r="J25" s="92"/>
    </x:row>
    <x:row r="26">
      <x:c r="A26" s="92" t="str">
        <x:v>Ranking rule</x:v>
      </x:c>
      <x:c r="B26" s="92" t="str">
        <x:v>NONCOMPENSATORY</x:v>
      </x:c>
      <x:c r="C26" s="92" t="str">
        <x:v>Beauty score</x:v>
      </x:c>
      <x:c r="D26" s="92" t="str">
        <x:v>PROHIBITED</x:v>
      </x:c>
      <x:c r="E26" s="92" t="str">
        <x:v>Physical confirmation</x:v>
      </x:c>
      <x:c r="F26" s="92" t="str">
        <x:v>REQUIRED</x:v>
      </x:c>
      <x:c r="G26" s="92"/>
      <x:c r="H26" s="92"/>
      <x:c r="I26" s="92"/>
      <x:c r="J26" s="92"/>
    </x:row>
    <x:row r="27">
      <x:c r="A27" s="92" t="str">
        <x:v>Highest direct gap</x:v>
      </x:c>
      <x:c r="B27" s="92" t="str">
        <x:v>Clearwood</x:v>
      </x:c>
      <x:c r="C27" s="92" t="str">
        <x:v>Affected formulas</x:v>
      </x:c>
      <x:c r="D27" s="92" t="n">
        <x:v>95</x:v>
      </x:c>
      <x:c r="E27" s="92" t="str">
        <x:v>Action</x:v>
      </x:c>
      <x:c r="F27" s="92" t="str">
        <x:v>RESTOCK</x:v>
      </x:c>
      <x:c r="G27" s="92"/>
      <x:c r="H27" s="92"/>
      <x:c r="I27" s="92"/>
      <x:c r="J27" s="92"/>
    </x:row>
    <x:row r="28">
      <x:c r="A28" s="92" t="str">
        <x:v>Highest expansion</x:v>
      </x:c>
      <x:c r="B28" s="92" t="str">
        <x:v>Ethylene Brassylate</x:v>
      </x:c>
      <x:c r="C28" s="92" t="str">
        <x:v>Current formula rows</x:v>
      </x:c>
      <x:c r="D28" s="92" t="n">
        <x:v>0</x:v>
      </x:c>
      <x:c r="E28" s="92" t="str">
        <x:v>Action</x:v>
      </x:c>
      <x:c r="F28" s="92" t="str">
        <x:v>SAMPLE / ACQUIRE</x:v>
      </x:c>
      <x:c r="G28" s="92"/>
      <x:c r="H28" s="92"/>
      <x:c r="I28" s="92"/>
      <x:c r="J28" s="92"/>
    </x:row>
    <x:row r="29">
      <x:c r="A29" s="92" t="str">
        <x:v>Current authority</x:v>
      </x:c>
      <x:c r="B29" s="92" t="str">
        <x:v>V5</x:v>
      </x:c>
      <x:c r="C29" s="92" t="str">
        <x:v>V4 state</x:v>
      </x:c>
      <x:c r="D29" s="92" t="str">
        <x:v>HISTORICAL</x:v>
      </x:c>
      <x:c r="E29" s="92" t="str">
        <x:v>Phase G</x:v>
      </x:c>
      <x:c r="F29" s="92" t="str">
        <x:v>LOCKED</x:v>
      </x:c>
      <x:c r="G29" s="92"/>
      <x:c r="H29" s="92"/>
      <x:c r="I29" s="92"/>
      <x:c r="J29" s="92"/>
    </x:row>
  </x:sheetData>
  <x:mergeCells>
    <x:mergeCell ref="A1:N1"/>
    <x:mergeCell ref="A2:N3"/>
    <x:mergeCell ref="J5:N7"/>
    <x:mergeCell ref="A9:N9"/>
  </x:mergeCell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34" hidden="0" customWidth="1"/>
    <x:col min="3" max="3" width="27" hidden="0" customWidth="1"/>
    <x:col min="4" max="4" width="36" hidden="0" customWidth="1"/>
    <x:col min="5" max="5" width="36" hidden="0" customWidth="1"/>
    <x:col min="6" max="6" width="23" hidden="0" customWidth="1"/>
    <x:col min="7" max="7" width="40" hidden="0" customWidth="1"/>
    <x:col min="8" max="8" width="14" hidden="0" customWidth="1"/>
    <x:col min="9" max="9" width="13" hidden="0" customWidth="1"/>
    <x:col min="10" max="10" width="11" hidden="0" customWidth="1"/>
    <x:col min="11" max="11" width="38" hidden="0" customWidth="1"/>
    <x:col min="12" max="12" width="38" hidden="0" customWidth="1"/>
    <x:col min="13" max="13" width="38" hidden="0" customWidth="1"/>
    <x:col min="14" max="14" width="38" hidden="0" customWidth="1"/>
  </x:cols>
  <x:sheetData>
    <x:row r="1" ht="31" customHeight="1">
      <x:c r="A1" s="55" t="str">
        <x:v>CURRENT CANONICAL INVENTORY • AUGUST 2026 • V5 HEDONIC-PRIORITY UPDATE</x:v>
      </x:c>
      <x:c r="B1" s="55"/>
      <x:c r="C1" s="55"/>
      <x:c r="D1" s="55"/>
      <x:c r="E1" s="55"/>
      <x:c r="F1" s="55"/>
      <x:c r="G1" s="55"/>
      <x:c r="H1" s="55"/>
      <x:c r="I1" s="55"/>
      <x:c r="J1" s="55"/>
      <x:c r="K1" s="55"/>
      <x:c r="L1" s="55"/>
      <x:c r="M1" s="55"/>
      <x:c r="N1" s="55"/>
    </x:row>
    <x:row r="2" ht="34" customHeight="1">
      <x:c r="A2" s="60" t="str">
        <x:v>V5 supersedes V4 for current planning. Ambrettolide 10% in DPG is treated as design-available because acquisition is planned, while physical use remains procurement-pending. New missing-material priority sheets rank direct portfolio gaps separately from high-value architectural expansions. No formula or sensory result was created.</x:v>
      </x:c>
      <x:c r="B2" s="60"/>
      <x:c r="C2" s="60"/>
      <x:c r="D2" s="60"/>
      <x:c r="E2" s="60"/>
      <x:c r="F2" s="60"/>
      <x:c r="G2" s="60"/>
      <x:c r="H2" s="60"/>
      <x:c r="I2" s="60"/>
      <x:c r="J2" s="60"/>
      <x:c r="K2" s="60"/>
      <x:c r="L2" s="60"/>
      <x:c r="M2" s="60"/>
      <x:c r="N2" s="60"/>
    </x:row>
    <x:row r="3" ht="34" customHeight="1">
      <x:c r="A3" s="60"/>
      <x:c r="B3" s="60"/>
      <x:c r="C3" s="60"/>
      <x:c r="D3" s="60"/>
      <x:c r="E3" s="60"/>
      <x:c r="F3" s="60"/>
      <x:c r="G3" s="60"/>
      <x:c r="H3" s="60"/>
      <x:c r="I3" s="60"/>
      <x:c r="J3" s="60"/>
      <x:c r="K3" s="60"/>
      <x:c r="L3" s="60"/>
      <x:c r="M3" s="60"/>
      <x:c r="N3" s="60"/>
    </x:row>
    <x:row r="5">
      <x:c r="A5" s="32" t="str">
        <x:v>Baseline #</x:v>
      </x:c>
      <x:c r="B5" s="32" t="str">
        <x:v>Canonical material</x:v>
      </x:c>
      <x:c r="C5" s="32" t="str">
        <x:v>Status</x:v>
      </x:c>
      <x:c r="D5" s="32" t="str">
        <x:v>Actual stock(s)</x:v>
      </x:c>
      <x:c r="E5" s="32" t="str">
        <x:v>Can prepare</x:v>
      </x:c>
      <x:c r="F5" s="32" t="str">
        <x:v>Family</x:v>
      </x:c>
      <x:c r="G5" s="32" t="str">
        <x:v>Prior listed stock</x:v>
      </x:c>
      <x:c r="H5" s="32" t="str">
        <x:v>Prior active fraction</x:v>
      </x:c>
      <x:c r="I5" s="32" t="str">
        <x:v>Formula count</x:v>
      </x:c>
      <x:c r="J5" s="32" t="str">
        <x:v>Row uses</x:v>
      </x:c>
      <x:c r="K5" s="32" t="str">
        <x:v>Affected target IDs</x:v>
      </x:c>
      <x:c r="L5" s="32" t="str">
        <x:v>Alias / non-equivalent</x:v>
      </x:c>
      <x:c r="M5" s="32" t="str">
        <x:v>Formula-use policy</x:v>
      </x:c>
      <x:c r="N5" s="32" t="str">
        <x:v>User note</x:v>
      </x:c>
    </x:row>
    <x:row r="6" ht="46" customHeight="1">
      <x:c r="A6" s="44"/>
      <x:c r="B6" s="44" t="str">
        <x:v>2-Acetyl Pyrazine</x:v>
      </x:c>
      <x:c r="C6" s="44" t="str">
        <x:v>HAVE — NEAT + 1% / 1% CARRIER UNSTATED</x:v>
      </x:c>
      <x:c r="D6" s="44" t="str">
        <x:v>2-Acetyl Pyrazine neat/as supplied; 1% working stock (carrier not stated)</x:v>
      </x:c>
      <x:c r="E6" s="44" t="str">
        <x:v>Prepare or retain a homogeneous 1% stock with carrier recorded.</x:v>
      </x:c>
      <x:c r="F6" s="44" t="str">
        <x:v>Roasted / nutty</x:v>
      </x:c>
      <x:c r="G6" s="44"/>
      <x:c r="H6" s="46" t="n">
        <x:v>1</x:v>
      </x:c>
      <x:c r="I6" s="44" t="n">
        <x:v>0</x:v>
      </x:c>
      <x:c r="J6" s="44" t="n">
        <x:v>0</x:v>
      </x:c>
      <x:c r="K6" s="44"/>
      <x:c r="L6" s="44" t="str">
        <x:v>PerfumersWorld neat product; 1% in DPG is a separate stock.</x:v>
      </x:c>
      <x:c r="M6" s="44" t="str">
        <x:v>Use the 1% stock for routine trace dosing; formula must specify stock.</x:v>
      </x:c>
      <x:c r="N6" s="44" t="str">
        <x:v>User confirmed ownership on 2026-08-07.</x:v>
      </x:c>
    </x:row>
    <x:row r="7" ht="46" customHeight="1">
      <x:c r="A7" s="44" t="n">
        <x:v>1</x:v>
      </x:c>
      <x:c r="B7" s="44" t="str">
        <x:v>Allyl Amyl Glycolate (AAG)</x:v>
      </x:c>
      <x:c r="C7" s="44" t="str">
        <x:v>HAVE — NEAT</x:v>
      </x:c>
      <x:c r="D7" s="44" t="str">
        <x:v>Allyl Amyl Glycolate neat/as supplied; CAS 67634-00-8</x:v>
      </x:c>
      <x:c r="E7" s="44" t="str">
        <x:v>Prepare 10% in DPG or TEC only when a formula explicitly requires it.</x:v>
      </x:c>
      <x:c r="F7" s="44" t="str">
        <x:v>green_fruit</x:v>
      </x:c>
      <x:c r="G7" s="44" t="str">
        <x:v>10% prepared from neat AAG</x:v>
      </x:c>
      <x:c r="H7" s="46" t="n">
        <x:v>0.1</x:v>
      </x:c>
      <x:c r="I7" s="44" t="n">
        <x:v>6</x:v>
      </x:c>
      <x:c r="J7" s="44" t="n">
        <x:v>6</x:v>
      </x:c>
      <x:c r="K7" s="44" t="str">
        <x:v>H05, H13, H15, Y02, Y10, Y13</x:v>
      </x:c>
      <x:c r="L7" s="44" t="str">
        <x:v>PerfumersWorld canonical name: Allyl Amyl Glycolate.</x:v>
      </x:c>
      <x:c r="M7" s="44" t="str">
        <x:v>Old formula rows written for AAG 10% require stock-strength recalculation; do not dose neat at the old 10% volume.</x:v>
      </x:c>
      <x:c r="N7" s="44" t="str">
        <x:v>User confirmed AAG identity; PerfumersWorld CAS and canonical name locked.</x:v>
      </x:c>
    </x:row>
    <x:row r="8" ht="46" customHeight="1">
      <x:c r="A8" s="44"/>
      <x:c r="B8" s="44" t="str">
        <x:v>Adoxal 10% in DPG</x:v>
      </x:c>
      <x:c r="C8" s="44" t="str">
        <x:v>HAVE — 10% IN DPG</x:v>
      </x:c>
      <x:c r="D8" s="44" t="str">
        <x:v>Adoxal 10% in DPG</x:v>
      </x:c>
      <x:c r="E8" s="44"/>
      <x:c r="F8" s="44" t="str">
        <x:v>Aldehydic / marine</x:v>
      </x:c>
      <x:c r="G8" s="44"/>
      <x:c r="H8" s="46"/>
      <x:c r="I8" s="44" t="n">
        <x:v>0</x:v>
      </x:c>
      <x:c r="J8" s="44" t="n">
        <x:v>0</x:v>
      </x:c>
      <x:c r="K8" s="44"/>
      <x:c r="L8" s="44"/>
      <x:c r="M8" s="44" t="str">
        <x:v>Use only with exact label/stock-strength accounting.</x:v>
      </x:c>
      <x:c r="N8" s="44" t="str">
        <x:v>User confirmed ownership on 2026-08-07.</x:v>
      </x:c>
    </x:row>
    <x:row r="9" ht="46" customHeight="1">
      <x:c r="A9" s="44" t="n">
        <x:v>2</x:v>
      </x:c>
      <x:c r="B9" s="44" t="str">
        <x:v>Aldehyde C10 1%</x:v>
      </x:c>
      <x:c r="C9" s="44" t="str">
        <x:v>HAVE</x:v>
      </x:c>
      <x:c r="D9" s="44" t="str">
        <x:v>1% working stock</x:v>
      </x:c>
      <x:c r="E9" s="44"/>
      <x:c r="F9" s="44" t="str">
        <x:v>citrus_top</x:v>
      </x:c>
      <x:c r="G9" s="44" t="str">
        <x:v>1% working stock</x:v>
      </x:c>
      <x:c r="H9" s="46" t="n">
        <x:v>0.01</x:v>
      </x:c>
      <x:c r="I9" s="44" t="n">
        <x:v>26</x:v>
      </x:c>
      <x:c r="J9" s="44" t="n">
        <x:v>26</x:v>
      </x:c>
      <x:c r="K9" s="44" t="str">
        <x:v>C01, C02, C03, C04, C06, C07, C08, O01, O02, O03, O04, O05, O06, Y01, Y02, Y04, Y05, Y06, Y07, Y08, Y09, Y10, Y11, Y12, Y13, Y14</x:v>
      </x:c>
      <x:c r="L9" s="44"/>
      <x:c r="M9" s="44" t="str">
        <x:v>Use only at the listed supplied-stock strength.</x:v>
      </x:c>
      <x:c r="N9" s="44" t="str">
        <x:v>Unchanged from prior register.</x:v>
      </x:c>
    </x:row>
    <x:row r="10" ht="46" customHeight="1">
      <x:c r="A10" s="44" t="n">
        <x:v>3</x:v>
      </x:c>
      <x:c r="B10" s="44" t="str">
        <x:v>Aldehyde C10 10%</x:v>
      </x:c>
      <x:c r="C10" s="44" t="str">
        <x:v>HAVE</x:v>
      </x:c>
      <x:c r="D10" s="44" t="str">
        <x:v>10% working dilution</x:v>
      </x:c>
      <x:c r="E10" s="44"/>
      <x:c r="F10" s="44" t="str">
        <x:v>Citrus top</x:v>
      </x:c>
      <x:c r="G10" s="44" t="str">
        <x:v>10% working dilution</x:v>
      </x:c>
      <x:c r="H10" s="46" t="n">
        <x:v>0.1</x:v>
      </x:c>
      <x:c r="I10" s="44" t="n">
        <x:v>27</x:v>
      </x:c>
      <x:c r="J10" s="44" t="n">
        <x:v>27</x:v>
      </x:c>
      <x:c r="K10" s="44" t="str">
        <x:v>AM-E04, AM-E12, AM-E13, AM-E16, AM-L01, AM-L02, AM-L03, AM-L07, AM-N01, AM-N02, AM-N04, AM-N06, AM-N07, AM-N13, AM-N14, AM-N15, H09, PR-E01, PR-E05, PR-L02, PR-N03, PR-N08, PR-N09, PR-N10, PR-N11, PR-N12, PR-N13</x:v>
      </x:c>
      <x:c r="L10" s="44"/>
      <x:c r="M10" s="44" t="str">
        <x:v>Use only at the listed supplied-stock strength.</x:v>
      </x:c>
      <x:c r="N10" s="44" t="str">
        <x:v>Unchanged from prior register.</x:v>
      </x:c>
    </x:row>
    <x:row r="11" ht="46" customHeight="1">
      <x:c r="A11" s="44" t="n">
        <x:v>4</x:v>
      </x:c>
      <x:c r="B11" s="44" t="str">
        <x:v>Aldehyde C11 1%</x:v>
      </x:c>
      <x:c r="C11" s="44" t="str">
        <x:v>HAVE</x:v>
      </x:c>
      <x:c r="D11" s="44" t="str">
        <x:v>1% working stock</x:v>
      </x:c>
      <x:c r="E11" s="44"/>
      <x:c r="F11" s="44" t="str">
        <x:v>citrus_top</x:v>
      </x:c>
      <x:c r="G11" s="44" t="str">
        <x:v>1% working stock</x:v>
      </x:c>
      <x:c r="H11" s="46" t="n">
        <x:v>0.01</x:v>
      </x:c>
      <x:c r="I11" s="44" t="n">
        <x:v>26</x:v>
      </x:c>
      <x:c r="J11" s="44" t="n">
        <x:v>26</x:v>
      </x:c>
      <x:c r="K11" s="44" t="str">
        <x:v>C01, C02, C03, C04, C06, C07, C08, O02, O03, O04, O05, O06, Y01, Y02, Y03, Y04, Y05, Y06, Y07, Y08, Y09, Y10, Y11, Y12, Y13, Y14</x:v>
      </x:c>
      <x:c r="L11" s="44"/>
      <x:c r="M11" s="44" t="str">
        <x:v>Use only at the listed supplied-stock strength.</x:v>
      </x:c>
      <x:c r="N11" s="44" t="str">
        <x:v>Unchanged from prior register.</x:v>
      </x:c>
    </x:row>
    <x:row r="12" ht="46" customHeight="1">
      <x:c r="A12" s="44" t="n">
        <x:v>5</x:v>
      </x:c>
      <x:c r="B12" s="44" t="str">
        <x:v>Aldehyde C11 10%</x:v>
      </x:c>
      <x:c r="C12" s="44" t="str">
        <x:v>HAVE</x:v>
      </x:c>
      <x:c r="D12" s="44" t="str">
        <x:v>10% working dilution</x:v>
      </x:c>
      <x:c r="E12" s="44"/>
      <x:c r="F12" s="44" t="str">
        <x:v>Citrus top</x:v>
      </x:c>
      <x:c r="G12" s="44" t="str">
        <x:v>10% working dilution</x:v>
      </x:c>
      <x:c r="H12" s="46" t="n">
        <x:v>0.1</x:v>
      </x:c>
      <x:c r="I12" s="44" t="n">
        <x:v>19</x:v>
      </x:c>
      <x:c r="J12" s="44" t="n">
        <x:v>19</x:v>
      </x:c>
      <x:c r="K12" s="44" t="str">
        <x:v>AM-E12, AM-E13, AM-E16, AM-L01, AM-L02, AM-N02, AM-N04, AM-N06, AM-N13, AM-N14, AM-N15, H09, PR-E01, PR-L02, PR-N03, PR-N08, PR-N10, PR-N12, PR-N13</x:v>
      </x:c>
      <x:c r="L12" s="44"/>
      <x:c r="M12" s="44" t="str">
        <x:v>Use only at the listed supplied-stock strength.</x:v>
      </x:c>
      <x:c r="N12" s="44" t="str">
        <x:v>Unchanged from prior register.</x:v>
      </x:c>
    </x:row>
    <x:row r="13" ht="46" customHeight="1">
      <x:c r="A13" s="44" t="n">
        <x:v>6</x:v>
      </x:c>
      <x:c r="B13" s="44" t="str">
        <x:v>Aldehyde C12 MNA 1%</x:v>
      </x:c>
      <x:c r="C13" s="44" t="str">
        <x:v>HAVE</x:v>
      </x:c>
      <x:c r="D13" s="44" t="str">
        <x:v>1% working stock</x:v>
      </x:c>
      <x:c r="E13" s="44"/>
      <x:c r="F13" s="44" t="str">
        <x:v>citrus_top</x:v>
      </x:c>
      <x:c r="G13" s="44" t="str">
        <x:v>1% working stock</x:v>
      </x:c>
      <x:c r="H13" s="46" t="n">
        <x:v>0.01</x:v>
      </x:c>
      <x:c r="I13" s="44" t="n">
        <x:v>28</x:v>
      </x:c>
      <x:c r="J13" s="44" t="n">
        <x:v>28</x:v>
      </x:c>
      <x:c r="K13" s="44" t="str">
        <x:v>C01, C02, C03, C04, C06, C07, H10, H14, H15, O03, O04, O05, O06, S01, S02, S04, S08, Y02, Y04, Y05, Y06, Y07, Y09, Y10, Y11, Y12, Y13, Y14</x:v>
      </x:c>
      <x:c r="L13" s="44"/>
      <x:c r="M13" s="44" t="str">
        <x:v>Use only at the listed supplied-stock strength.</x:v>
      </x:c>
      <x:c r="N13" s="44" t="str">
        <x:v>Unchanged from prior register.</x:v>
      </x:c>
    </x:row>
    <x:row r="14" ht="46" customHeight="1">
      <x:c r="A14" s="44" t="n">
        <x:v>7</x:v>
      </x:c>
      <x:c r="B14" s="44" t="str">
        <x:v>Aldehyde C12 MNA 10%</x:v>
      </x:c>
      <x:c r="C14" s="44" t="str">
        <x:v>HAVE</x:v>
      </x:c>
      <x:c r="D14" s="44" t="str">
        <x:v>10% working dilution</x:v>
      </x:c>
      <x:c r="E14" s="44"/>
      <x:c r="F14" s="44" t="str">
        <x:v>Citrus top</x:v>
      </x:c>
      <x:c r="G14" s="44" t="str">
        <x:v>10% working dilution</x:v>
      </x:c>
      <x:c r="H14" s="46" t="n">
        <x:v>0.1</x:v>
      </x:c>
      <x:c r="I14" s="44" t="n">
        <x:v>15</x:v>
      </x:c>
      <x:c r="J14" s="44" t="n">
        <x:v>15</x:v>
      </x:c>
      <x:c r="K14" s="44" t="str">
        <x:v>AM-E12, AM-E16, AM-L01, AM-L02, AM-N02, AM-N04, AM-N06, AM-N14, AM-N15, H09, PR-E01, PR-L02, PR-N03, PR-N08, PR-N10</x:v>
      </x:c>
      <x:c r="L14" s="44"/>
      <x:c r="M14" s="44" t="str">
        <x:v>Use only at the listed supplied-stock strength.</x:v>
      </x:c>
      <x:c r="N14" s="44" t="str">
        <x:v>Unchanged from prior register.</x:v>
      </x:c>
    </x:row>
    <x:row r="15" ht="46" customHeight="1">
      <x:c r="A15" s="44" t="n">
        <x:v>8</x:v>
      </x:c>
      <x:c r="B15" s="44" t="str">
        <x:v>Aldehyde C16 EMPG 10%</x:v>
      </x:c>
      <x:c r="C15" s="44" t="str">
        <x:v>HAVE — 10% / IDENTITY KEPT SEPARATE</x:v>
      </x:c>
      <x:c r="D15" s="44" t="str">
        <x:v>Aldehyde C16 EMPG 10% working stock</x:v>
      </x:c>
      <x:c r="E15" s="44"/>
      <x:c r="F15" s="44" t="str">
        <x:v>Green fruit</x:v>
      </x:c>
      <x:c r="G15" s="44" t="str">
        <x:v>10% working dilution</x:v>
      </x:c>
      <x:c r="H15" s="46" t="n">
        <x:v>0.1</x:v>
      </x:c>
      <x:c r="I15" s="44" t="n">
        <x:v>10</x:v>
      </x:c>
      <x:c r="J15" s="44" t="n">
        <x:v>10</x:v>
      </x:c>
      <x:c r="K15" s="44" t="str">
        <x:v>AM-E02, AM-E06, AM-E13, AM-L02, AM-L04, AM-N03, AM-N06, AM-N09, AM-N10, AM-N13</x:v>
      </x:c>
      <x:c r="L15" s="44" t="str">
        <x:v>Kept separate from Apritone despite combined wording in the user message.</x:v>
      </x:c>
      <x:c r="M15" s="44" t="str">
        <x:v>Do not merge with Apritone without exact bottle evidence.</x:v>
      </x:c>
      <x:c r="N15" s="44" t="str">
        <x:v>User confirmed ownership on 2026-08-07.</x:v>
      </x:c>
    </x:row>
    <x:row r="16" ht="46" customHeight="1">
      <x:c r="A16" s="44" t="n">
        <x:v>9</x:v>
      </x:c>
      <x:c r="B16" s="44" t="str">
        <x:v>Allyl Cyclohexyl Propionate 10%</x:v>
      </x:c>
      <x:c r="C16" s="44" t="str">
        <x:v>HAVE — 10% IN DPG</x:v>
      </x:c>
      <x:c r="D16" s="44" t="str">
        <x:v>Allyl Cyclohexyl Propionate 10% in DPG</x:v>
      </x:c>
      <x:c r="E16" s="44"/>
      <x:c r="F16" s="44" t="str">
        <x:v>Green / fruit</x:v>
      </x:c>
      <x:c r="G16" s="44" t="str">
        <x:v>10% working stock</x:v>
      </x:c>
      <x:c r="H16" s="46" t="n">
        <x:v>0.1</x:v>
      </x:c>
      <x:c r="I16" s="44" t="n">
        <x:v>11</x:v>
      </x:c>
      <x:c r="J16" s="44" t="n">
        <x:v>11</x:v>
      </x:c>
      <x:c r="K16" s="44" t="str">
        <x:v>AM-E01, AM-E02, AM-E05, AM-E06, AM-L02, AM-L04, AM-N03, AM-N06, AM-N09, AM-N10, H05</x:v>
      </x:c>
      <x:c r="L16" s="44" t="str">
        <x:v>User spelling “propinate” normalized to propionate.</x:v>
      </x:c>
      <x:c r="M16" s="44" t="str">
        <x:v>Use only at the listed supplied-stock strength.</x:v>
      </x:c>
      <x:c r="N16" s="44" t="str">
        <x:v>User confirmed ownership on 2026-08-07.</x:v>
      </x:c>
    </x:row>
    <x:row r="17" ht="46" customHeight="1">
      <x:c r="A17" s="44" t="n">
        <x:v>10</x:v>
      </x:c>
      <x:c r="B17" s="44" t="str">
        <x:v>Allyl Ionone 10%</x:v>
      </x:c>
      <x:c r="C17" s="44" t="str">
        <x:v>HAVE — NEAT ONLY</x:v>
      </x:c>
      <x:c r="D17" s="44" t="str">
        <x:v>Allyl Ionone neat</x:v>
      </x:c>
      <x:c r="E17" s="44" t="str">
        <x:v>Can prepare 10% working dilution.</x:v>
      </x:c>
      <x:c r="F17" s="44" t="str">
        <x:v>Orris / Violet</x:v>
      </x:c>
      <x:c r="G17" s="44" t="str">
        <x:v>10% working dilution</x:v>
      </x:c>
      <x:c r="H17" s="46" t="n">
        <x:v>0.1</x:v>
      </x:c>
      <x:c r="I17" s="44" t="n">
        <x:v>1</x:v>
      </x:c>
      <x:c r="J17" s="44" t="n">
        <x:v>1</x:v>
      </x:c>
      <x:c r="K17" s="44" t="str">
        <x:v>PR-N11</x:v>
      </x:c>
      <x:c r="L17" s="44"/>
      <x:c r="M17" s="44" t="str">
        <x:v>Use only at the listed supplied-stock strength.</x:v>
      </x:c>
      <x:c r="N17" s="44" t="str">
        <x:v>Listed 10% stock is not currently prepared.</x:v>
      </x:c>
    </x:row>
    <x:row r="18" ht="46" customHeight="1">
      <x:c r="A18" s="44" t="n">
        <x:v>11</x:v>
      </x:c>
      <x:c r="B18" s="44" t="str">
        <x:v>Alpha Ionone</x:v>
      </x:c>
      <x:c r="C18" s="44" t="str">
        <x:v>HAVE</x:v>
      </x:c>
      <x:c r="D18" s="44" t="str">
        <x:v>neat / as supplied</x:v>
      </x:c>
      <x:c r="E18" s="44"/>
      <x:c r="F18" s="44" t="str">
        <x:v>orris_violet</x:v>
      </x:c>
      <x:c r="G18" s="44" t="str">
        <x:v>neat / as supplied</x:v>
      </x:c>
      <x:c r="H18" s="46" t="n">
        <x:v>1</x:v>
      </x:c>
      <x:c r="I18" s="44" t="n">
        <x:v>31</x:v>
      </x:c>
      <x:c r="J18" s="44" t="n">
        <x:v>31</x:v>
      </x:c>
      <x:c r="K18" s="44" t="str">
        <x:v>AM-E01, AM-E02, AM-E05, AM-E06, AM-E08, AM-E09, AM-E10, AM-L04, AM-L07, AM-L08, AM-L09, AM-N01, AM-N04, AM-N05, AM-N06, AM-N12, AM-N16, H01, H02, H04, H05, H06, H07, H08, O01, O02, O03, O04, PR-E02, PR-N02, PR-N11</x:v>
      </x:c>
      <x:c r="L18" s="44"/>
      <x:c r="M18" s="44" t="str">
        <x:v>Use only at the listed supplied-stock strength.</x:v>
      </x:c>
      <x:c r="N18" s="44" t="str">
        <x:v>Unchanged from prior register.</x:v>
      </x:c>
    </x:row>
    <x:row r="19" ht="46" customHeight="1">
      <x:c r="A19" s="44" t="n">
        <x:v>12</x:v>
      </x:c>
      <x:c r="B19" s="44" t="str">
        <x:v>Alpha Irone 10%</x:v>
      </x:c>
      <x:c r="C19" s="44" t="str">
        <x:v>GAP</x:v>
      </x:c>
      <x:c r="D19" s="44"/>
      <x:c r="E19" s="44"/>
      <x:c r="F19" s="44" t="str">
        <x:v>Iris / violet</x:v>
      </x:c>
      <x:c r="G19" s="44" t="str">
        <x:v>10% working stock</x:v>
      </x:c>
      <x:c r="H19" s="46" t="n">
        <x:v>0.1</x:v>
      </x:c>
      <x:c r="I19" s="44" t="n">
        <x:v>12</x:v>
      </x:c>
      <x:c r="J19" s="44" t="n">
        <x:v>12</x:v>
      </x:c>
      <x:c r="K19" s="44" t="str">
        <x:v>AM-E01, AM-E09, AM-E10, AM-L08, AM-N01, AM-N12, AM-N16, PR-L03, PR-N02, PR-N08, PR-N10, PR-N11</x:v>
      </x:c>
      <x:c r="L19" s="44"/>
      <x:c r="M19" s="44" t="str">
        <x:v>Do not use Alpha Irone 10%; item 13 remains a separate 30% stock.</x:v>
      </x:c>
      <x:c r="N19" s="44" t="str">
        <x:v>User does not have Alpha Irone 10%.</x:v>
      </x:c>
    </x:row>
    <x:row r="20" ht="46" customHeight="1">
      <x:c r="A20" s="44" t="n">
        <x:v>13</x:v>
      </x:c>
      <x:c r="B20" s="44" t="str">
        <x:v>Alpha Irone 30%</x:v>
      </x:c>
      <x:c r="C20" s="44" t="str">
        <x:v>HAVE</x:v>
      </x:c>
      <x:c r="D20" s="44" t="str">
        <x:v>30% w/w in IPM</x:v>
      </x:c>
      <x:c r="E20" s="44"/>
      <x:c r="F20" s="44" t="str">
        <x:v>orris_violet</x:v>
      </x:c>
      <x:c r="G20" s="44" t="str">
        <x:v>30% w/w in IPM</x:v>
      </x:c>
      <x:c r="H20" s="46" t="n">
        <x:v>0.3</x:v>
      </x:c>
      <x:c r="I20" s="44" t="n">
        <x:v>21</x:v>
      </x:c>
      <x:c r="J20" s="44" t="n">
        <x:v>21</x:v>
      </x:c>
      <x:c r="K20" s="44" t="str">
        <x:v>C01, C03, H01, H02, H04, H05, H06, H07, H08, O01, O02, O04, PR-E02, PR-L04, Y06, Y07, Y09, Y10, Y11, Y12, Y13</x:v>
      </x:c>
      <x:c r="L20" s="44"/>
      <x:c r="M20" s="44" t="str">
        <x:v>Use only at the listed supplied-stock strength.</x:v>
      </x:c>
      <x:c r="N20" s="44" t="str">
        <x:v>Unchanged from prior register.</x:v>
      </x:c>
    </x:row>
    <x:row r="21" ht="46" customHeight="1">
      <x:c r="A21" s="44" t="n">
        <x:v>14</x:v>
      </x:c>
      <x:c r="B21" s="44" t="str">
        <x:v>Alpha Isomethyl Ionone</x:v>
      </x:c>
      <x:c r="C21" s="44" t="str">
        <x:v>HAVE</x:v>
      </x:c>
      <x:c r="D21" s="44" t="str">
        <x:v>neat / as supplied</x:v>
      </x:c>
      <x:c r="E21" s="44"/>
      <x:c r="F21" s="44" t="str">
        <x:v>orris_violet</x:v>
      </x:c>
      <x:c r="G21" s="44" t="str">
        <x:v>neat / as supplied</x:v>
      </x:c>
      <x:c r="H21" s="46" t="n">
        <x:v>1</x:v>
      </x:c>
      <x:c r="I21" s="44" t="n">
        <x:v>55</x:v>
      </x:c>
      <x:c r="J21" s="44" t="n">
        <x:v>55</x:v>
      </x:c>
      <x:c r="K21" s="44" t="str">
        <x:v>AM-E01, AM-E02, AM-E05, AM-E06, AM-E08, AM-E09, AM-E10, AM-E11, AM-L01, AM-L03, AM-L04, AM-L05, AM-L06, AM-L07, AM-L08, AM-L09, AM-N01, AM-N04, AM-N05, AM-N06, AM-N08, AM-N09, AM-N12, AM-N13, AM-N16, H01, H02, H04, H05, H06, H07, H08, H10, H12, O01, O02, O04, O05, PR-E01, PR-E02, PR-E05, PR-L03, PR-L04, PR-L05, PR-N02, PR-N03, PR-N04, PR-N11, Y01, Y03, Y04, Y06, Y07, Y09, Y11</x:v>
      </x:c>
      <x:c r="L21" s="44"/>
      <x:c r="M21" s="44" t="str">
        <x:v>Use only at the listed supplied-stock strength.</x:v>
      </x:c>
      <x:c r="N21" s="44" t="str">
        <x:v>Unchanged from prior register.</x:v>
      </x:c>
    </x:row>
    <x:row r="22" ht="46" customHeight="1">
      <x:c r="A22" s="44" t="n">
        <x:v>15</x:v>
      </x:c>
      <x:c r="B22" s="44" t="str">
        <x:v>Amber Core 10%</x:v>
      </x:c>
      <x:c r="C22" s="44" t="str">
        <x:v>GAP</x:v>
      </x:c>
      <x:c r="D22" s="44"/>
      <x:c r="E22" s="44"/>
      <x:c r="F22" s="44" t="str">
        <x:v>Woods / amber</x:v>
      </x:c>
      <x:c r="G22" s="44" t="str">
        <x:v>10% in DPG</x:v>
      </x:c>
      <x:c r="H22" s="46" t="n">
        <x:v>0.1</x:v>
      </x:c>
      <x:c r="I22" s="44" t="n">
        <x:v>48</x:v>
      </x:c>
      <x:c r="J22" s="44" t="n">
        <x:v>48</x:v>
      </x:c>
      <x:c r="K22" s="44" t="str">
        <x:v>AM-E01, AM-E02, AM-E03, AM-E04, AM-E05, AM-E06, AM-E07, AM-E08, AM-E10, AM-E11, AM-E12, AM-E13, AM-E14, AM-E15, AM-E16, AM-L01, AM-L02, AM-L03, AM-L04, AM-L05, AM-L06, AM-L07, AM-L08, AM-L09, AM-N01, AM-N02, AM-N03, AM-N04, AM-N05, AM-N06, AM-N07, AM-N08, AM-N09, AM-N10, AM-N11, AM-N12, AM-N13, AM-N14, AM-N15, AM-N16, C05, C07, C08, PR-E09, PR-N01, PR-N06, Y01, Y08</x:v>
      </x:c>
      <x:c r="L22" s="44"/>
      <x:c r="M22" s="44" t="str">
        <x:v>Remove from inventory-fit formulas; do not replace without target evidence.</x:v>
      </x:c>
      <x:c r="N22" s="44" t="str">
        <x:v>User confirmed not in stock.</x:v>
      </x:c>
    </x:row>
    <x:row r="23" ht="46" customHeight="1">
      <x:c r="A23" s="44" t="n">
        <x:v>16</x:v>
      </x:c>
      <x:c r="B23" s="44" t="str">
        <x:v>Amber Xtreme 0.1%</x:v>
      </x:c>
      <x:c r="C23" s="44" t="str">
        <x:v>GAP</x:v>
      </x:c>
      <x:c r="D23" s="44"/>
      <x:c r="E23" s="44"/>
      <x:c r="F23" s="44" t="str">
        <x:v>Woods / amber</x:v>
      </x:c>
      <x:c r="G23" s="44" t="str">
        <x:v>0.1% in DPG</x:v>
      </x:c>
      <x:c r="H23" s="46" t="n">
        <x:v>0.001</x:v>
      </x:c>
      <x:c r="I23" s="44" t="n">
        <x:v>47</x:v>
      </x:c>
      <x:c r="J23" s="44" t="n">
        <x:v>47</x:v>
      </x:c>
      <x:c r="K23" s="44" t="str">
        <x:v>AM-E01, AM-E02, AM-E03, AM-E04, AM-E05, AM-E06, AM-E07, AM-E08, AM-E09, AM-E10, AM-E11, AM-E12, AM-E13, AM-E14, AM-E15, AM-E16, AM-L01, AM-L02, AM-L03, AM-L04, AM-L05, AM-L06, AM-L07, AM-L08, AM-L09, AM-N01, AM-N02, AM-N03, AM-N04, AM-N05, AM-N06, AM-N07, AM-N08, AM-N09, AM-N10, AM-N11, AM-N12, AM-N13, AM-N14, AM-N15, AM-N16, C07, C08, PR-E03, PR-E06, PR-N09, Y01</x:v>
      </x:c>
      <x:c r="L23" s="44"/>
      <x:c r="M23" s="44" t="str">
        <x:v>Remove from inventory-fit formulas; do not replace without target evidence.</x:v>
      </x:c>
      <x:c r="N23" s="44" t="str">
        <x:v>User confirmed not in stock.</x:v>
      </x:c>
    </x:row>
    <x:row r="24" ht="52" customHeight="1">
      <x:c r="A24" s="44" t="n">
        <x:v>17</x:v>
      </x:c>
      <x:c r="B24" s="44" t="str">
        <x:v>Ambergris Accord</x:v>
      </x:c>
      <x:c r="C24" s="44" t="str">
        <x:v>CONSTRUCTIBLE MOLECULAR ACCORD — NOT NATURAL AMBERGRIS</x:v>
      </x:c>
      <x:c r="D24" s="44" t="str">
        <x:v>Ambergris Molecular Base v0.1 can be built from Ambrofix 40%, Ambrox Super 33%, Habanolide, Ambrettolide 10%, Cashmeran and supporting materials.</x:v>
      </x:c>
      <x:c r="E24" s="44" t="str">
        <x:v>Prepare from the Constructible Accords sheet.</x:v>
      </x:c>
      <x:c r="F24" s="44" t="str">
        <x:v>Musk</x:v>
      </x:c>
      <x:c r="G24" s="44" t="str">
        <x:v>target-required accord</x:v>
      </x:c>
      <x:c r="H24" s="46" t="n">
        <x:v>1</x:v>
      </x:c>
      <x:c r="I24" s="44" t="n">
        <x:v>4</x:v>
      </x:c>
      <x:c r="J24" s="44" t="n">
        <x:v>4</x:v>
      </x:c>
      <x:c r="K24" s="44" t="str">
        <x:v>AM-N07, AM-N13, AM-N15, O06</x:v>
      </x:c>
      <x:c r="L24" s="44" t="str">
        <x:v>Modern ambergris/ambrox effect only; not natural ambergris tincture or a disclosed commercial base.</x:v>
      </x:c>
      <x:c r="M24" s="44" t="str">
        <x:v>Use for targets supported by modern ambergris/ambrox architecture. Keep natural-ambergris claims on hold.</x:v>
      </x:c>
      <x:c r="N24" s="44" t="str">
        <x:v>User owns Ambrofix at 30% and 40% plus Ambrox Super 33%.</x:v>
      </x:c>
    </x:row>
    <x:row r="25" ht="46" customHeight="1">
      <x:c r="A25" s="44" t="n">
        <x:v>18</x:v>
      </x:c>
      <x:c r="B25" s="44" t="str">
        <x:v>Ambermax 50%</x:v>
      </x:c>
      <x:c r="C25" s="44" t="str">
        <x:v>HAVE</x:v>
      </x:c>
      <x:c r="D25" s="44" t="str">
        <x:v>50% working stock</x:v>
      </x:c>
      <x:c r="E25" s="44"/>
      <x:c r="F25" s="44" t="str">
        <x:v>Woods / amber</x:v>
      </x:c>
      <x:c r="G25" s="44" t="str">
        <x:v>50% working stock</x:v>
      </x:c>
      <x:c r="H25" s="46" t="n">
        <x:v>0.5</x:v>
      </x:c>
      <x:c r="I25" s="44" t="n">
        <x:v>50</x:v>
      </x:c>
      <x:c r="J25" s="44" t="n">
        <x:v>50</x:v>
      </x:c>
      <x:c r="K25" s="44" t="str">
        <x:v>AM-E01, AM-E02, AM-E03, AM-E04, AM-E05, AM-E06, AM-E07, AM-E08, AM-E09, AM-E10, AM-E11, AM-E12, AM-E13, AM-E14, AM-E15, AM-E16, AM-L01, AM-L02, AM-L03, AM-L04, AM-L05, AM-L06, AM-L07, AM-L08, AM-L09, AM-N01, AM-N02, AM-N03, AM-N04, AM-N05, AM-N06, AM-N07, AM-N08, AM-N09, AM-N10, AM-N11, AM-N12, AM-N13, AM-N14, AM-N15, AM-N16, C07, C08, PR-E03, PR-E06, PR-L01, PR-N01, PR-N06, PR-N09, Y01</x:v>
      </x:c>
      <x:c r="L25" s="44"/>
      <x:c r="M25" s="44" t="str">
        <x:v>Use only at the listed supplied-stock strength.</x:v>
      </x:c>
      <x:c r="N25" s="44" t="str">
        <x:v>Unchanged from prior register.</x:v>
      </x:c>
    </x:row>
    <x:row r="26" ht="46" customHeight="1">
      <x:c r="A26" s="44" t="n">
        <x:v>19</x:v>
      </x:c>
      <x:c r="B26" s="44" t="str">
        <x:v>Amberwood F</x:v>
      </x:c>
      <x:c r="C26" s="44" t="str">
        <x:v>HAVE</x:v>
      </x:c>
      <x:c r="D26" s="44" t="str">
        <x:v>neat/as supplied</x:v>
      </x:c>
      <x:c r="E26" s="44"/>
      <x:c r="F26" s="44" t="str">
        <x:v>woods_amber</x:v>
      </x:c>
      <x:c r="G26" s="44" t="str">
        <x:v>neat / as supplied</x:v>
      </x:c>
      <x:c r="H26" s="46" t="n">
        <x:v>1</x:v>
      </x:c>
      <x:c r="I26" s="44" t="n">
        <x:v>92</x:v>
      </x:c>
      <x:c r="J26" s="44" t="n">
        <x:v>92</x:v>
      </x:c>
      <x:c r="K26" s="44" t="str">
        <x:v>AM-E01, AM-E02, AM-E03, AM-E04, AM-E05, AM-E06, AM-E07, AM-E08, AM-E09, AM-E10, AM-E11, AM-E12, AM-E13, AM-E14, AM-E15, AM-E16, AM-L01, AM-L02, AM-L03, AM-L04, AM-L05, AM-L06, AM-L07, AM-L08, AM-L09, AM-N01, AM-N02, AM-N03, AM-N04, AM-N05, AM-N06, AM-N07, AM-N08, AM-N09, AM-N10, AM-N11, AM-N12, AM-N13, AM-N14, AM-N15, AM-N16, C05, C06, C07, C08, H01, H02, H03, H04, H05, H06, H07, H08, H10, H11, H12, H13, H14, H15, O02, O03, O06, PR-E01, PR-E02, PR-E03, PR-E04, PR-E05, PR-E06, PR-E07, PR-E09, PR-L01, PR-N01, PR-N02, PR-N03, PR-N06, PR-N07, PR-N08, PR-N09, S01, S02, S03, S04, S05, S06, S07, S08, Y02, Y03, Y04, Y08, Y10, Y13</x:v>
      </x:c>
      <x:c r="L26" s="44"/>
      <x:c r="M26" s="44" t="str">
        <x:v>Use only at the listed supplied-stock strength.</x:v>
      </x:c>
      <x:c r="N26" s="44" t="str">
        <x:v>Unchanged from prior register. Confirms item 19.</x:v>
      </x:c>
    </x:row>
    <x:row r="27" ht="46" customHeight="1">
      <x:c r="A27" s="44" t="n">
        <x:v>20</x:v>
      </x:c>
      <x:c r="B27" s="44" t="str">
        <x:v>Ambrettolide 10%</x:v>
      </x:c>
      <x:c r="C27" s="44" t="str">
        <x:v>PLANNED ACQUISITION • DESIGN-AVAILABLE</x:v>
      </x:c>
      <x:c r="D27" s="44" t="str">
        <x:v>Ambrettolide 10% in DPG planned; physical receipt pending</x:v>
      </x:c>
      <x:c r="E27" s="44" t="str">
        <x:v>Create or verify exact 10% in DPG stock after acquisition.</x:v>
      </x:c>
      <x:c r="F27" s="44" t="str">
        <x:v>musk</x:v>
      </x:c>
      <x:c r="G27" s="44" t="str">
        <x:v>10% in DPG</x:v>
      </x:c>
      <x:c r="H27" s="46" t="n">
        <x:v>0.1</x:v>
      </x:c>
      <x:c r="I27" s="44" t="n">
        <x:v>119</x:v>
      </x:c>
      <x:c r="J27" s="44" t="n">
        <x:v>119</x:v>
      </x:c>
      <x:c r="K27"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PR-E03, PR-E04, PR-E05, PR-E06, PR-E07, PR-E08, PR-E09, PR-L02, PR-L03, PR-L04, PR-L05, PR-N01, PR-N02, PR-N03, PR-N04, PR-N05, PR-N06, PR-N07, PR-N08, PR-N09, PR-N10, PR-N11, PR-N12, PR-N13, PR-N14, S01, S02, S03, S04, S05, S06, S07, S08, Y01, Y02, Y03, Y04, Y05, Y06, Y07, Y08, Y09, Y10, Y11, Y12, Y13, Y14</x:v>
      </x:c>
      <x:c r="L27" s="44"/>
      <x:c r="M27" s="44" t="str">
        <x:v>Usable in computational formula design, accord architecture and screen planning. A physical batch may not claim Ambrettolide use until receipt and ExactStockRef are recorded.</x:v>
      </x:c>
      <x:c r="N27" s="44" t="str">
        <x:v>User instructed on 2026-08-07 to treat Ambrettolide as available for design because purchase is planned.</x:v>
      </x:c>
    </x:row>
    <x:row r="28" ht="46" customHeight="1">
      <x:c r="A28" s="44"/>
      <x:c r="B28" s="44" t="str">
        <x:v>Ambrettolide 10% in DPG</x:v>
      </x:c>
      <x:c r="C28" s="44" t="str">
        <x:v>PLANNED ACQUISITION • DUPLICATE STOCK ROW</x:v>
      </x:c>
      <x:c r="D28" s="44" t="str">
        <x:v>Same planned Ambrettolide 10% in DPG stock; count once</x:v>
      </x:c>
      <x:c r="E28" s="44"/>
      <x:c r="F28" s="44" t="str">
        <x:v>Musk</x:v>
      </x:c>
      <x:c r="G28" s="44"/>
      <x:c r="H28" s="46"/>
      <x:c r="I28" s="44" t="n">
        <x:v>0</x:v>
      </x:c>
      <x:c r="J28" s="44" t="n">
        <x:v>0</x:v>
      </x:c>
      <x:c r="K28" s="44"/>
      <x:c r="L28" s="44" t="str">
        <x:v>Duplicate stock-form row for Ambrettolide 10%; parent stock is out of stock and counts once.</x:v>
      </x:c>
      <x:c r="M28" s="44" t="str">
        <x:v>Duplicate stock-form row. Do not count separately. Physical use remains procurement-pending.</x:v>
      </x:c>
      <x:c r="N28" s="44" t="str">
        <x:v>Synchronized to planned-acquisition design status on 2026-08-07.</x:v>
      </x:c>
    </x:row>
    <x:row r="29" ht="46" customHeight="1">
      <x:c r="A29" s="44" t="n">
        <x:v>21</x:v>
      </x:c>
      <x:c r="B29" s="44" t="str">
        <x:v>Ambrofix 30%</x:v>
      </x:c>
      <x:c r="C29" s="44" t="str">
        <x:v>HAVE</x:v>
      </x:c>
      <x:c r="D29" s="44" t="str">
        <x:v>30% working stock</x:v>
      </x:c>
      <x:c r="E29" s="44"/>
      <x:c r="F29" s="44" t="str">
        <x:v>woods_amber</x:v>
      </x:c>
      <x:c r="G29" s="44" t="str">
        <x:v>30% working stock</x:v>
      </x:c>
      <x:c r="H29" s="46" t="n">
        <x:v>0.3</x:v>
      </x:c>
      <x:c r="I29" s="44" t="n">
        <x:v>114</x:v>
      </x:c>
      <x:c r="J29" s="44" t="n">
        <x:v>114</x:v>
      </x:c>
      <x:c r="K29"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PR-E03, PR-E04, PR-E05, PR-E06, PR-E07, PR-E09, PR-L01, PR-L02, PR-L03, PR-L04, PR-L05, PR-N01, PR-N02, PR-N03, PR-N04, PR-N05, PR-N06, PR-N07, PR-N08, PR-N09, S01, S02, S03, S04, S05, S06, S07, S08, Y01, Y02, Y03, Y04, Y05, Y06, Y07, Y08, Y09, Y10, Y11, Y12, Y13, Y14</x:v>
      </x:c>
      <x:c r="L29" s="44"/>
      <x:c r="M29" s="44" t="str">
        <x:v>Use only at the listed supplied-stock strength.</x:v>
      </x:c>
      <x:c r="N29" s="44" t="str">
        <x:v>Unchanged from prior register.</x:v>
      </x:c>
    </x:row>
    <x:row r="30" ht="46" customHeight="1">
      <x:c r="A30" s="44" t="n">
        <x:v>22</x:v>
      </x:c>
      <x:c r="B30" s="44" t="str">
        <x:v>Ambrox Super 33%</x:v>
      </x:c>
      <x:c r="C30" s="44" t="str">
        <x:v>HAVE</x:v>
      </x:c>
      <x:c r="D30" s="44" t="str">
        <x:v>33% working stock</x:v>
      </x:c>
      <x:c r="E30" s="44"/>
      <x:c r="F30" s="44" t="str">
        <x:v>woods_amber</x:v>
      </x:c>
      <x:c r="G30" s="44" t="str">
        <x:v>33% working stock</x:v>
      </x:c>
      <x:c r="H30" s="46" t="n">
        <x:v>0.33</x:v>
      </x:c>
      <x:c r="I30" s="44" t="n">
        <x:v>81</x:v>
      </x:c>
      <x:c r="J30" s="44" t="n">
        <x:v>81</x:v>
      </x:c>
      <x:c r="K30" s="44" t="str">
        <x:v>AM-E01, AM-E02, AM-E03, AM-E04, AM-E05, AM-E06, AM-E07, AM-E08, AM-E09, AM-E10, AM-E11, AM-E12, AM-E13, AM-E14, AM-E15, AM-E16, AM-L01, AM-L02, AM-L03, AM-L04, AM-L05, AM-L06, AM-L07, AM-L08, AM-L09, AM-N01, AM-N02, AM-N03, AM-N04, AM-N05, AM-N06, AM-N07, AM-N08, AM-N09, AM-N10, AM-N11, AM-N12, AM-N13, AM-N14, AM-N15, AM-N16, C07, C08, H01, H02, H03, H04, H05, H06, H07, H08, H10, H11, H12, H13, H14, H15, O03, O06, PR-E03, PR-E04, PR-E05, PR-E06, PR-E07, PR-E09, PR-L02, PR-N01, PR-N02, PR-N03, PR-N07, PR-N08, PR-N09, S01, S02, S03, S04, S05, S06, S07, S08, Y02</x:v>
      </x:c>
      <x:c r="L30" s="44"/>
      <x:c r="M30" s="44" t="str">
        <x:v>Use only at the listed supplied-stock strength.</x:v>
      </x:c>
      <x:c r="N30" s="44" t="str">
        <x:v>Unchanged from prior register.</x:v>
      </x:c>
    </x:row>
    <x:row r="31" ht="46" customHeight="1">
      <x:c r="A31" s="44" t="n">
        <x:v>23</x:v>
      </x:c>
      <x:c r="B31" s="44" t="str">
        <x:v>Angelica Seed EO 10%</x:v>
      </x:c>
      <x:c r="C31" s="44" t="str">
        <x:v>GAP</x:v>
      </x:c>
      <x:c r="D31" s="44"/>
      <x:c r="E31" s="44"/>
      <x:c r="F31" s="44" t="str">
        <x:v>Aromatic top</x:v>
      </x:c>
      <x:c r="G31" s="44" t="str">
        <x:v>10% target-required working dilution</x:v>
      </x:c>
      <x:c r="H31" s="46" t="n">
        <x:v>0.1</x:v>
      </x:c>
      <x:c r="I31" s="44" t="n">
        <x:v>3</x:v>
      </x:c>
      <x:c r="J31" s="44" t="n">
        <x:v>3</x:v>
      </x:c>
      <x:c r="K31" s="44" t="str">
        <x:v>AM-N04, PR-E05, PR-N13</x:v>
      </x:c>
      <x:c r="L31" s="44"/>
      <x:c r="M31" s="44" t="str">
        <x:v>No Angelica Seed EO stock.</x:v>
      </x:c>
      <x:c r="N31" s="44" t="str">
        <x:v>User confirmed no.</x:v>
      </x:c>
    </x:row>
    <x:row r="32" ht="46" customHeight="1">
      <x:c r="A32" s="44" t="n">
        <x:v>24</x:v>
      </x:c>
      <x:c r="B32" s="44" t="str">
        <x:v>Anisaldehyde 10%</x:v>
      </x:c>
      <x:c r="C32" s="44" t="str">
        <x:v>HAVE — 10%</x:v>
      </x:c>
      <x:c r="D32" s="44" t="str">
        <x:v>Anisaldehyde 10% working stock</x:v>
      </x:c>
      <x:c r="E32" s="44"/>
      <x:c r="F32" s="44" t="str">
        <x:v>sweet_balsamic</x:v>
      </x:c>
      <x:c r="G32" s="44" t="str">
        <x:v>10% working stock</x:v>
      </x:c>
      <x:c r="H32" s="46" t="n">
        <x:v>0.1</x:v>
      </x:c>
      <x:c r="I32" s="44" t="n">
        <x:v>30</x:v>
      </x:c>
      <x:c r="J32" s="44" t="n">
        <x:v>30</x:v>
      </x:c>
      <x:c r="K32" s="44" t="str">
        <x:v>AM-E02, AM-E03, AM-E04, AM-E07, AM-E11, AM-E12, AM-E13, AM-L01, AM-L03, AM-L05, AM-L06, AM-L07, AM-L08, AM-N01, AM-N02, AM-N03, AM-N06, AM-N07, AM-N08, AM-N10, AM-N13, AM-N14, AM-N15, AM-N16, PR-E04, PR-N12, S06, S08, Y03, Y07</x:v>
      </x:c>
      <x:c r="L32" s="44"/>
      <x:c r="M32" s="44" t="str">
        <x:v>Use only at the listed supplied-stock strength.</x:v>
      </x:c>
      <x:c r="N32" s="44" t="str">
        <x:v>User confirmed ownership on 2026-08-07.</x:v>
      </x:c>
    </x:row>
    <x:row r="33" ht="46" customHeight="1">
      <x:c r="A33" s="44" t="n">
        <x:v>25</x:v>
      </x:c>
      <x:c r="B33" s="44" t="str">
        <x:v>Anise EO 1%</x:v>
      </x:c>
      <x:c r="C33" s="44" t="str">
        <x:v>HAVE</x:v>
      </x:c>
      <x:c r="D33" s="44" t="str">
        <x:v>1% working dilution</x:v>
      </x:c>
      <x:c r="E33" s="44"/>
      <x:c r="F33" s="44" t="str">
        <x:v>Spice</x:v>
      </x:c>
      <x:c r="G33" s="44" t="str">
        <x:v>1% working dilution</x:v>
      </x:c>
      <x:c r="H33" s="46" t="n">
        <x:v>0.01</x:v>
      </x:c>
      <x:c r="I33" s="44" t="n">
        <x:v>17</x:v>
      </x:c>
      <x:c r="J33" s="44" t="n">
        <x:v>17</x:v>
      </x:c>
      <x:c r="K33" s="44" t="str">
        <x:v>AM-E02, AM-E03, AM-E07, AM-E11, AM-E12, AM-E13, AM-L01, AM-L06, AM-L08, AM-N03, AM-N07, AM-N10, AM-N13, AM-N14, AM-N15, AM-N16, PR-E04</x:v>
      </x:c>
      <x:c r="L33" s="44"/>
      <x:c r="M33" s="44" t="str">
        <x:v>Use only at the listed supplied-stock strength.</x:v>
      </x:c>
      <x:c r="N33" s="44" t="str">
        <x:v>Unchanged from prior register.</x:v>
      </x:c>
    </x:row>
    <x:row r="34" ht="52" customHeight="1">
      <x:c r="A34" s="44" t="n">
        <x:v>26</x:v>
      </x:c>
      <x:c r="B34" s="44" t="str">
        <x:v>Apple Accord 10%</x:v>
      </x:c>
      <x:c r="C34" s="44" t="str">
        <x:v>CONSTRUCTIBLE ACCORD — NOT YET MIXED</x:v>
      </x:c>
      <x:c r="D34" s="44" t="str">
        <x:v>Apple Accord v0.1 can be built from Hexyl Acetate, Verdox, Verdyl Acetate, AAG 10%, cis-3-Hexenol 1%, Ethyl 2-Methylbutyrate 0.1%, Melonal 1% and supporting materials.</x:v>
      </x:c>
      <x:c r="E34" s="44" t="str">
        <x:v>Prepare from the Constructible Accords sheet.</x:v>
      </x:c>
      <x:c r="F34" s="44" t="str">
        <x:v>Green fruit</x:v>
      </x:c>
      <x:c r="G34" s="44" t="str">
        <x:v>10% target-required accord</x:v>
      </x:c>
      <x:c r="H34" s="46" t="n">
        <x:v>0.1</x:v>
      </x:c>
      <x:c r="I34" s="44" t="n">
        <x:v>2</x:v>
      </x:c>
      <x:c r="J34" s="44" t="n">
        <x:v>2</x:v>
      </x:c>
      <x:c r="K34" s="44" t="str">
        <x:v>Y10, Y13</x:v>
      </x:c>
      <x:c r="L34" s="44" t="str">
        <x:v>A constructed green-apple accord is not evidence of an original commercial apple base.</x:v>
      </x:c>
      <x:c r="M34" s="44" t="str">
        <x:v>Use only after the accord itself is blotter-tested. Keep commercial-similarity status pending.</x:v>
      </x:c>
      <x:c r="N34" s="44" t="str">
        <x:v>User has the required building blocks.</x:v>
      </x:c>
    </x:row>
    <x:row r="35" ht="46" customHeight="1">
      <x:c r="A35" s="44" t="n">
        <x:v>27</x:v>
      </x:c>
      <x:c r="B35" s="44" t="str">
        <x:v>Apritone 10%</x:v>
      </x:c>
      <x:c r="C35" s="44" t="str">
        <x:v>HAVE — 10% / IDENTITY KEPT SEPARATE</x:v>
      </x:c>
      <x:c r="D35" s="44" t="str">
        <x:v>Apritone 10% working stock</x:v>
      </x:c>
      <x:c r="E35" s="44"/>
      <x:c r="F35" s="44" t="str">
        <x:v>Green / fruit</x:v>
      </x:c>
      <x:c r="G35" s="44" t="str">
        <x:v>10% working stock</x:v>
      </x:c>
      <x:c r="H35" s="46" t="n">
        <x:v>0.1</x:v>
      </x:c>
      <x:c r="I35" s="44" t="n">
        <x:v>9</x:v>
      </x:c>
      <x:c r="J35" s="44" t="n">
        <x:v>9</x:v>
      </x:c>
      <x:c r="K35" s="44" t="str">
        <x:v>AM-E02, AM-E06, AM-L02, AM-L04, AM-N03, AM-N06, AM-N09, AM-N10, H05</x:v>
      </x:c>
      <x:c r="L35" s="44" t="str">
        <x:v>Kept separate from Aldehyde C16 EMPG despite combined wording in the user message.</x:v>
      </x:c>
      <x:c r="M35" s="44" t="str">
        <x:v>Do not merge with C16 EMPG without exact bottle evidence.</x:v>
      </x:c>
      <x:c r="N35" s="44" t="str">
        <x:v>User confirmed ownership on 2026-08-07.</x:v>
      </x:c>
    </x:row>
    <x:row r="36" ht="46" customHeight="1">
      <x:c r="A36" s="44"/>
      <x:c r="B36" s="44" t="str">
        <x:v>Azabre</x:v>
      </x:c>
      <x:c r="C36" s="44" t="str">
        <x:v>HAVE — PRODUCT BASIS</x:v>
      </x:c>
      <x:c r="D36" s="44" t="str">
        <x:v>Azabre as supplied</x:v>
      </x:c>
      <x:c r="E36" s="44"/>
      <x:c r="F36" s="44" t="str">
        <x:v>Specialty / woody-green</x:v>
      </x:c>
      <x:c r="G36" s="44"/>
      <x:c r="H36" s="46"/>
      <x:c r="I36" s="44" t="n">
        <x:v>0</x:v>
      </x:c>
      <x:c r="J36" s="44" t="n">
        <x:v>0</x:v>
      </x:c>
      <x:c r="K36" s="44"/>
      <x:c r="L36" s="44" t="str">
        <x:v>Opaque specialty product; composition not inferred.</x:v>
      </x:c>
      <x:c r="M36" s="44" t="str">
        <x:v>Count once as a product basis.</x:v>
      </x:c>
      <x:c r="N36" s="44" t="str">
        <x:v>User confirmed ownership on 2026-08-07.</x:v>
      </x:c>
    </x:row>
    <x:row r="37" ht="46" customHeight="1">
      <x:c r="A37" s="44" t="n">
        <x:v>28</x:v>
      </x:c>
      <x:c r="B37" s="44" t="str">
        <x:v>Basil EO ct. Methyl Chavicol 10%</x:v>
      </x:c>
      <x:c r="C37" s="44" t="str">
        <x:v>VERIFY</x:v>
      </x:c>
      <x:c r="D37" s="44" t="str">
        <x:v>10% in DPG; verify stock</x:v>
      </x:c>
      <x:c r="E37" s="44"/>
      <x:c r="F37" s="44" t="str">
        <x:v>Aromatic top</x:v>
      </x:c>
      <x:c r="G37" s="44" t="str">
        <x:v>10% in DPG; verify stock</x:v>
      </x:c>
      <x:c r="H37" s="46" t="n">
        <x:v>0.1</x:v>
      </x:c>
      <x:c r="I37" s="44" t="n">
        <x:v>2</x:v>
      </x:c>
      <x:c r="J37" s="44" t="n">
        <x:v>2</x:v>
      </x:c>
      <x:c r="K37" s="44" t="str">
        <x:v>Y01, Y07</x:v>
      </x:c>
      <x:c r="L37" s="44"/>
      <x:c r="M37" s="44" t="str">
        <x:v>Confirm bottle identity, strength, and solvent before use.</x:v>
      </x:c>
      <x:c r="N37" s="44" t="str">
        <x:v>Unchanged from prior register.</x:v>
      </x:c>
    </x:row>
    <x:row r="38" ht="46" customHeight="1">
      <x:c r="A38" s="44"/>
      <x:c r="B38" s="44" t="str">
        <x:v>Benzaldehyde</x:v>
      </x:c>
      <x:c r="C38" s="44" t="str">
        <x:v>HAVE</x:v>
      </x:c>
      <x:c r="D38" s="44" t="str">
        <x:v>neat/as supplied</x:v>
      </x:c>
      <x:c r="E38" s="44"/>
      <x:c r="F38" s="44" t="str">
        <x:v>Almond / gourmand</x:v>
      </x:c>
      <x:c r="G38" s="44"/>
      <x:c r="H38" s="46"/>
      <x:c r="I38" s="44" t="n">
        <x:v>0</x:v>
      </x:c>
      <x:c r="J38" s="44" t="n">
        <x:v>0</x:v>
      </x:c>
      <x:c r="K38" s="44"/>
      <x:c r="L38" s="44"/>
      <x:c r="M38" s="44" t="str">
        <x:v>Use only with exact label/stock-strength accounting.</x:v>
      </x:c>
      <x:c r="N38" s="44" t="str">
        <x:v>Canonical neat stock for item 29.</x:v>
      </x:c>
    </x:row>
    <x:row r="39" ht="46" customHeight="1">
      <x:c r="A39" s="44" t="n">
        <x:v>29</x:v>
      </x:c>
      <x:c r="B39" s="44" t="str">
        <x:v>Benzaldehyde 10%</x:v>
      </x:c>
      <x:c r="C39" s="44" t="str">
        <x:v>HAVE — NEAT / PREPARE</x:v>
      </x:c>
      <x:c r="D39" s="44" t="str">
        <x:v>Benzaldehyde neat</x:v>
      </x:c>
      <x:c r="E39" s="44" t="str">
        <x:v>Prepare 10% only when required.</x:v>
      </x:c>
      <x:c r="F39" s="44" t="str">
        <x:v>Almond / gourmand</x:v>
      </x:c>
      <x:c r="G39" s="44" t="str">
        <x:v>10% working dilution</x:v>
      </x:c>
      <x:c r="H39" s="46" t="n">
        <x:v>0.1</x:v>
      </x:c>
      <x:c r="I39" s="44" t="n">
        <x:v>18</x:v>
      </x:c>
      <x:c r="J39" s="44" t="n">
        <x:v>18</x:v>
      </x:c>
      <x:c r="K39" s="44" t="str">
        <x:v>AM-E02, AM-E04, AM-E06, AM-E13, AM-L01, AM-L03, AM-L04, AM-L05, AM-L07, AM-N01, AM-N02, AM-N06, AM-N07, AM-N09, AM-N13, AM-N15, PR-E04, PR-N08</x:v>
      </x:c>
      <x:c r="L39" s="44"/>
      <x:c r="M39" s="44" t="str">
        <x:v>Use only at the listed supplied-stock strength.</x:v>
      </x:c>
      <x:c r="N39" s="44" t="str">
        <x:v>The listed 10% stock needs to be made from neat benzaldehyde.</x:v>
      </x:c>
    </x:row>
    <x:row r="40" ht="46" customHeight="1">
      <x:c r="A40" s="44"/>
      <x:c r="B40" s="44" t="str">
        <x:v>Benzyl Acetate</x:v>
      </x:c>
      <x:c r="C40" s="44" t="str">
        <x:v>HAVE — NEAT</x:v>
      </x:c>
      <x:c r="D40" s="44" t="str">
        <x:v>Benzyl Acetate neat/as supplied</x:v>
      </x:c>
      <x:c r="E40" s="44"/>
      <x:c r="F40" s="44" t="str">
        <x:v>Floral / fruity</x:v>
      </x:c>
      <x:c r="G40" s="44"/>
      <x:c r="H40" s="46"/>
      <x:c r="I40" s="44" t="n">
        <x:v>0</x:v>
      </x:c>
      <x:c r="J40" s="44" t="n">
        <x:v>0</x:v>
      </x:c>
      <x:c r="K40" s="44"/>
      <x:c r="L40" s="44"/>
      <x:c r="M40" s="44" t="str">
        <x:v>Use only with exact label/stock-strength accounting.</x:v>
      </x:c>
      <x:c r="N40" s="44" t="str">
        <x:v>User confirmed ownership on 2026-08-07.</x:v>
      </x:c>
    </x:row>
    <x:row r="41" ht="46" customHeight="1">
      <x:c r="A41" s="44" t="n">
        <x:v>30</x:v>
      </x:c>
      <x:c r="B41" s="44" t="str">
        <x:v>Benzyl Salicylate</x:v>
      </x:c>
      <x:c r="C41" s="44" t="str">
        <x:v>HAVE — NEAT</x:v>
      </x:c>
      <x:c r="D41" s="44" t="str">
        <x:v>Benzyl Salicylate neat/as supplied</x:v>
      </x:c>
      <x:c r="E41" s="44"/>
      <x:c r="F41" s="44" t="str">
        <x:v>air_floral</x:v>
      </x:c>
      <x:c r="G41" s="44" t="str">
        <x:v>neat / as supplied</x:v>
      </x:c>
      <x:c r="H41" s="46" t="n">
        <x:v>1</x:v>
      </x:c>
      <x:c r="I41" s="44" t="n">
        <x:v>88</x:v>
      </x:c>
      <x:c r="J41" s="44" t="n">
        <x:v>88</x:v>
      </x:c>
      <x:c r="K41"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C08, H01, H02, H03, H04, H05, H06, H07, H09, H10, H11, H12, H13, H14, O01, O02, O03, O05, O06, PR-E01, PR-E02, PR-E04, PR-E07, PR-E08, PR-E09, PR-L03, PR-L04, PR-L05, PR-N04, PR-N06, PR-N14, S01, S02, S03, S07, Y01, Y03, Y04, Y05, Y06, Y08</x:v>
      </x:c>
      <x:c r="L41" s="44"/>
      <x:c r="M41" s="44" t="str">
        <x:v>Use only at the listed supplied-stock strength.</x:v>
      </x:c>
      <x:c r="N41" s="44" t="str">
        <x:v>User confirmed ownership on 2026-08-07.</x:v>
      </x:c>
    </x:row>
    <x:row r="42" ht="46" customHeight="1">
      <x:c r="A42" s="44" t="n">
        <x:v>31</x:v>
      </x:c>
      <x:c r="B42" s="44" t="str">
        <x:v>Bergamot FCF Oil Sicilian</x:v>
      </x:c>
      <x:c r="C42" s="44" t="str">
        <x:v>HAVE</x:v>
      </x:c>
      <x:c r="D42" s="44" t="str">
        <x:v>neat / as supplied</x:v>
      </x:c>
      <x:c r="E42" s="44"/>
      <x:c r="F42" s="44" t="str">
        <x:v>citrus_top</x:v>
      </x:c>
      <x:c r="G42" s="44" t="str">
        <x:v>neat / as supplied</x:v>
      </x:c>
      <x:c r="H42" s="46" t="n">
        <x:v>1</x:v>
      </x:c>
      <x:c r="I42" s="44" t="n">
        <x:v>107</x:v>
      </x:c>
      <x:c r="J42" s="44" t="n">
        <x:v>107</x:v>
      </x:c>
      <x:c r="K42"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H08, H09, H10, H11, H12, H14, H15, O01, O03, O05, O06, PR-E01, PR-E02, PR-E03, PR-E04, PR-E05, PR-E07, PR-E08, PR-E09, PR-L01, PR-L02, PR-L03, PR-L04, PR-L05, PR-N01, PR-N03, PR-N04, PR-N05, PR-N06, PR-N10, PR-N11, PR-N12, PR-N13, PR-N14, S01, S02, S03, S04, S05, S07, S08, Y01, Y02, Y03, Y04, Y05, Y06, Y07, Y08, Y09, Y10, Y11, Y12, Y13, Y14</x:v>
      </x:c>
      <x:c r="L42" s="44"/>
      <x:c r="M42" s="44" t="str">
        <x:v>Use only at the listed supplied-stock strength.</x:v>
      </x:c>
      <x:c r="N42" s="44" t="str">
        <x:v>Unchanged from prior register.</x:v>
      </x:c>
    </x:row>
    <x:row r="43" ht="46" customHeight="1">
      <x:c r="A43" s="44" t="n">
        <x:v>32</x:v>
      </x:c>
      <x:c r="B43" s="44" t="str">
        <x:v>Beta Damascone 10%</x:v>
      </x:c>
      <x:c r="C43" s="44" t="str">
        <x:v>HAVE — NEAT + 10%</x:v>
      </x:c>
      <x:c r="D43" s="44" t="str">
        <x:v>Beta Damascone neat/as supplied; Beta Damascone 10% working stock</x:v>
      </x:c>
      <x:c r="E43" s="44"/>
      <x:c r="F43" s="44" t="str">
        <x:v>Air floral</x:v>
      </x:c>
      <x:c r="G43" s="44" t="str">
        <x:v>10% working stock</x:v>
      </x:c>
      <x:c r="H43" s="46" t="n">
        <x:v>0.1</x:v>
      </x:c>
      <x:c r="I43" s="44" t="n">
        <x:v>18</x:v>
      </x:c>
      <x:c r="J43" s="44" t="n">
        <x:v>18</x:v>
      </x:c>
      <x:c r="K43" s="44" t="str">
        <x:v>AM-E01, AM-E02, AM-E05, AM-E06, AM-E12, AM-E13, AM-L02, AM-L04, AM-L08, AM-N03, AM-N06, AM-N09, AM-N10, AM-N13, H06, H13, S05, S06</x:v>
      </x:c>
      <x:c r="L43" s="44"/>
      <x:c r="M43" s="44" t="str">
        <x:v>Formula must specify neat versus 10%.</x:v>
      </x:c>
      <x:c r="N43" s="44" t="str">
        <x:v>User confirmed ownership on 2026-08-07.</x:v>
      </x:c>
    </x:row>
    <x:row r="44" ht="46" customHeight="1">
      <x:c r="A44" s="44" t="n">
        <x:v>33</x:v>
      </x:c>
      <x:c r="B44" s="44" t="str">
        <x:v>Beta Ionone</x:v>
      </x:c>
      <x:c r="C44" s="44" t="str">
        <x:v>HAVE</x:v>
      </x:c>
      <x:c r="D44" s="44" t="str">
        <x:v>neat / as supplied</x:v>
      </x:c>
      <x:c r="E44" s="44"/>
      <x:c r="F44" s="44" t="str">
        <x:v>orris_violet</x:v>
      </x:c>
      <x:c r="G44" s="44" t="str">
        <x:v>neat / as supplied</x:v>
      </x:c>
      <x:c r="H44" s="46" t="n">
        <x:v>1</x:v>
      </x:c>
      <x:c r="I44" s="44" t="n">
        <x:v>18</x:v>
      </x:c>
      <x:c r="J44" s="44" t="n">
        <x:v>18</x:v>
      </x:c>
      <x:c r="K44" s="44" t="str">
        <x:v>C01, C03, C06, H01, H02, H04, H05, H06, H07, H08, O01, O02, O04, Y09, Y10, Y11, Y12, Y13</x:v>
      </x:c>
      <x:c r="L44" s="44"/>
      <x:c r="M44" s="44" t="str">
        <x:v>Use only at the listed supplied-stock strength.</x:v>
      </x:c>
      <x:c r="N44" s="44" t="str">
        <x:v>Unchanged from prior register.</x:v>
      </x:c>
    </x:row>
    <x:row r="45" ht="46" customHeight="1">
      <x:c r="A45" s="44" t="n">
        <x:v>34</x:v>
      </x:c>
      <x:c r="B45" s="44" t="str">
        <x:v>Beta Ionone 1%</x:v>
      </x:c>
      <x:c r="C45" s="44" t="str">
        <x:v>HAVE — DIFFERENT STOCK</x:v>
      </x:c>
      <x:c r="D45" s="44" t="str">
        <x:v>Beta Ionone 0.1% working dilution</x:v>
      </x:c>
      <x:c r="E45" s="44" t="str">
        <x:v>Neat Beta Ionone is separately listed at item 33; prepare any other dilution deliberately.</x:v>
      </x:c>
      <x:c r="F45" s="44" t="str">
        <x:v>Iris / violet</x:v>
      </x:c>
      <x:c r="G45" s="44" t="str">
        <x:v>1% working stock</x:v>
      </x:c>
      <x:c r="H45" s="46" t="n">
        <x:v>0.01</x:v>
      </x:c>
      <x:c r="I45" s="44" t="n">
        <x:v>2</x:v>
      </x:c>
      <x:c r="J45" s="44" t="n">
        <x:v>2</x:v>
      </x:c>
      <x:c r="K45" s="44" t="str">
        <x:v>PR-N11, Y01</x:v>
      </x:c>
      <x:c r="L45" s="44"/>
      <x:c r="M45" s="44" t="str">
        <x:v>Do not dose as 1%; recalculate formulas to 0.1% stock.</x:v>
      </x:c>
      <x:c r="N45" s="44" t="str">
        <x:v>User has 0.1%, not 1%.</x:v>
      </x:c>
    </x:row>
    <x:row r="46" ht="46" customHeight="1">
      <x:c r="A46" s="44" t="n">
        <x:v>35</x:v>
      </x:c>
      <x:c r="B46" s="44" t="str">
        <x:v>Birch Tar 1%</x:v>
      </x:c>
      <x:c r="C46" s="44" t="str">
        <x:v>HAVE — MULTIPLE STOCKS</x:v>
      </x:c>
      <x:c r="D46" s="44" t="str">
        <x:v>Birch Tar 1% and Birch Tar 10%</x:v>
      </x:c>
      <x:c r="E46" s="44"/>
      <x:c r="F46" s="44" t="str">
        <x:v>Leather / smoke</x:v>
      </x:c>
      <x:c r="G46" s="44" t="str">
        <x:v>1% working stock</x:v>
      </x:c>
      <x:c r="H46" s="46" t="n">
        <x:v>0.01</x:v>
      </x:c>
      <x:c r="I46" s="44" t="n">
        <x:v>33</x:v>
      </x:c>
      <x:c r="J46" s="44" t="n">
        <x:v>33</x:v>
      </x:c>
      <x:c r="K46" s="44" t="str">
        <x:v>AM-E01, AM-E02, AM-E03, AM-E04, AM-E07, AM-E08, AM-E11, AM-E13, AM-E14, AM-E15, AM-L03, AM-L04, AM-L05, AM-L06, AM-L07, AM-L08, AM-N01, AM-N03, AM-N05, AM-N07, AM-N08, AM-N09, AM-N13, C08, H01, H04, H08, PR-E02, PR-E04, PR-E07, PR-N05, PR-N06, PR-N07</x:v>
      </x:c>
      <x:c r="L46" s="44"/>
      <x:c r="M46" s="44" t="str">
        <x:v>Formula must name the exact stock strength.</x:v>
      </x:c>
      <x:c r="N46" s="44" t="str">
        <x:v>Both 1% and 10% stocks are available.</x:v>
      </x:c>
    </x:row>
    <x:row r="47" ht="46" customHeight="1">
      <x:c r="A47" s="44" t="n">
        <x:v>36</x:v>
      </x:c>
      <x:c r="B47" s="44" t="str">
        <x:v>Black Agarwood Artificial 10%</x:v>
      </x:c>
      <x:c r="C47" s="44" t="str">
        <x:v>HAVE — 10% W/W IN DPG</x:v>
      </x:c>
      <x:c r="D47" s="44" t="str">
        <x:v>Black Agarwood Artificial 10% w/w in DPG</x:v>
      </x:c>
      <x:c r="E47" s="44"/>
      <x:c r="F47" s="44" t="str">
        <x:v>leather</x:v>
      </x:c>
      <x:c r="G47" s="44" t="str">
        <x:v>10% prepared from neat</x:v>
      </x:c>
      <x:c r="H47" s="46" t="n">
        <x:v>0.1</x:v>
      </x:c>
      <x:c r="I47" s="44" t="n">
        <x:v>16</x:v>
      </x:c>
      <x:c r="J47" s="44" t="n">
        <x:v>16</x:v>
      </x:c>
      <x:c r="K47" s="44" t="str">
        <x:v>AM-E01, AM-E03, AM-E04, AM-E05, AM-E06, AM-E07, AM-E13, AM-L09, AM-N01, AM-N07, AM-N08, AM-N09, AM-N15, H06, O04, S08</x:v>
      </x:c>
      <x:c r="L47" s="44"/>
      <x:c r="M47" s="44" t="str">
        <x:v>Use only at the listed supplied-stock strength.</x:v>
      </x:c>
      <x:c r="N47" s="44" t="str">
        <x:v>User confirmed ownership on 2026-08-07.</x:v>
      </x:c>
    </x:row>
    <x:row r="48" ht="46" customHeight="1">
      <x:c r="A48" s="44" t="n">
        <x:v>37</x:v>
      </x:c>
      <x:c r="B48" s="44" t="str">
        <x:v>Black Pepper EO</x:v>
      </x:c>
      <x:c r="C48" s="44" t="str">
        <x:v>HAVE</x:v>
      </x:c>
      <x:c r="D48" s="44" t="str">
        <x:v>neat / as supplied</x:v>
      </x:c>
      <x:c r="E48" s="44"/>
      <x:c r="F48" s="44" t="str">
        <x:v>spice</x:v>
      </x:c>
      <x:c r="G48" s="44" t="str">
        <x:v>neat / as supplied</x:v>
      </x:c>
      <x:c r="H48" s="46" t="n">
        <x:v>1</x:v>
      </x:c>
      <x:c r="I48" s="44" t="n">
        <x:v>88</x:v>
      </x:c>
      <x:c r="J48" s="44" t="n">
        <x:v>88</x:v>
      </x:c>
      <x:c r="K48" s="44" t="str">
        <x:v>AM-E01, AM-E02, AM-E03, AM-E04, AM-E05, AM-E06, AM-E07, AM-E08, AM-E09, AM-E10, AM-E11, AM-E12, AM-E13, AM-E14, AM-E15, AM-E16, AM-L01, AM-L02, AM-L03, AM-L04, AM-L05, AM-L06, AM-L07, AM-L08, AM-L09, AM-N01, AM-N02, AM-N03, AM-N04, AM-N05, AM-N06, AM-N07, AM-N08, AM-N09, AM-N10, AM-N11, AM-N12, AM-N13, AM-N14, AM-N15, AM-N16, C01, C05, C07, C08, H01, H02, H03, H08, H11, H12, H13, H14, H15, O01, O03, O04, O05, PR-E01, PR-E02, PR-E03, PR-E04, PR-E07, PR-L01, PR-L04, PR-N05, S01, S02, S03, S04, S05, S06, S07, S08, Y01, Y02, Y03, Y04, Y05, Y06, Y07, Y08, Y09, Y10, Y11, Y12, Y13, Y14</x:v>
      </x:c>
      <x:c r="L48" s="44"/>
      <x:c r="M48" s="44" t="str">
        <x:v>Use only at the listed supplied-stock strength.</x:v>
      </x:c>
      <x:c r="N48" s="44" t="str">
        <x:v>Unchanged from prior register.</x:v>
      </x:c>
    </x:row>
    <x:row r="49" ht="46" customHeight="1">
      <x:c r="A49" s="44" t="n">
        <x:v>38</x:v>
      </x:c>
      <x:c r="B49" s="44" t="str">
        <x:v>Blackcurrant Absolute 10%</x:v>
      </x:c>
      <x:c r="C49" s="44" t="str">
        <x:v>HAVE</x:v>
      </x:c>
      <x:c r="D49" s="44" t="str">
        <x:v>10% in DPG</x:v>
      </x:c>
      <x:c r="E49" s="44"/>
      <x:c r="F49" s="44" t="str">
        <x:v>Green / fruit</x:v>
      </x:c>
      <x:c r="G49" s="44" t="str">
        <x:v>10% in DPG</x:v>
      </x:c>
      <x:c r="H49" s="46" t="n">
        <x:v>0.1</x:v>
      </x:c>
      <x:c r="I49" s="44" t="n">
        <x:v>18</x:v>
      </x:c>
      <x:c r="J49" s="44" t="n">
        <x:v>18</x:v>
      </x:c>
      <x:c r="K49" s="44" t="str">
        <x:v>AM-E01, AM-E02, AM-E05, AM-E06, AM-E12, AM-E13, AM-L01, AM-L02, AM-L03, AM-L04, AM-L05, AM-L07, AM-L09, AM-N03, AM-N06, AM-N09, AM-N10, AM-N13</x:v>
      </x:c>
      <x:c r="L49" s="44"/>
      <x:c r="M49" s="44" t="str">
        <x:v>Use only at the listed supplied-stock strength.</x:v>
      </x:c>
      <x:c r="N49" s="44" t="str">
        <x:v>Unchanged from prior register.</x:v>
      </x:c>
    </x:row>
    <x:row r="50" ht="46" customHeight="1">
      <x:c r="A50" s="44" t="n">
        <x:v>39</x:v>
      </x:c>
      <x:c r="B50" s="44" t="str">
        <x:v>Blood Orange Oil Sicilian</x:v>
      </x:c>
      <x:c r="C50" s="44" t="str">
        <x:v>HAVE — NEAT / LOT DETAIL OPEN</x:v>
      </x:c>
      <x:c r="D50" s="44" t="str">
        <x:v>Blood Orange Oil Sicilian neat/as supplied; lot details not yet recorded</x:v>
      </x:c>
      <x:c r="E50" s="44"/>
      <x:c r="F50" s="44" t="str">
        <x:v>citrus_top</x:v>
      </x:c>
      <x:c r="G50" s="44" t="str">
        <x:v>neat / as supplied</x:v>
      </x:c>
      <x:c r="H50" s="46" t="n">
        <x:v>1</x:v>
      </x:c>
      <x:c r="I50" s="44" t="n">
        <x:v>48</x:v>
      </x:c>
      <x:c r="J50" s="44" t="n">
        <x:v>48</x:v>
      </x:c>
      <x:c r="K50" s="44" t="str">
        <x:v>AM-E02, AM-E03, AM-E04, AM-E05, AM-E06, AM-E07, AM-E08, AM-E09, AM-E10, AM-E12, AM-E14, AM-E15, AM-E16, AM-L01, AM-L02, AM-L03, AM-L04, AM-L06, AM-L08, AM-L09, AM-N02, AM-N04, AM-N05, AM-N06, AM-N07, AM-N09, AM-N10, AM-N14, AM-N15, C01, C02, C03, C04, C05, C06, C07, H06, H08, H13, H15, O05, O06, S05, Y03, Y04, Y05, Y10, Y14</x:v>
      </x:c>
      <x:c r="L50" s="44" t="str">
        <x:v>User spelling “silician” normalized to Sicilian.</x:v>
      </x:c>
      <x:c r="M50" s="44" t="str">
        <x:v>Use only at the listed supplied-stock strength.</x:v>
      </x:c>
      <x:c r="N50" s="44" t="str">
        <x:v>User confirmed ownership on 2026-08-07.</x:v>
      </x:c>
    </x:row>
    <x:row r="51" ht="46" customHeight="1">
      <x:c r="A51" s="44"/>
      <x:c r="B51" s="44" t="str">
        <x:v>Blue Chamomile EO</x:v>
      </x:c>
      <x:c r="C51" s="44" t="str">
        <x:v>HAVE — NEAT / LOT DETAIL OPEN</x:v>
      </x:c>
      <x:c r="D51" s="44" t="str">
        <x:v>Blue Chamomile EO neat/as supplied; lot details not yet recorded</x:v>
      </x:c>
      <x:c r="E51" s="44"/>
      <x:c r="F51" s="44" t="str">
        <x:v>Aromatic / herbal</x:v>
      </x:c>
      <x:c r="G51" s="44"/>
      <x:c r="H51" s="46"/>
      <x:c r="I51" s="44" t="n">
        <x:v>0</x:v>
      </x:c>
      <x:c r="J51" s="44" t="n">
        <x:v>0</x:v>
      </x:c>
      <x:c r="K51" s="44"/>
      <x:c r="L51" s="44"/>
      <x:c r="M51" s="44" t="str">
        <x:v>Use only with exact label/stock-strength accounting.</x:v>
      </x:c>
      <x:c r="N51" s="44" t="str">
        <x:v>User confirmed ownership on 2026-08-07.</x:v>
      </x:c>
    </x:row>
    <x:row r="52" ht="46" customHeight="1">
      <x:c r="A52" s="44"/>
      <x:c r="B52" s="44" t="str">
        <x:v>Cabreuva EO 50% in DPG</x:v>
      </x:c>
      <x:c r="C52" s="44" t="str">
        <x:v>HAVE — 50% W/W IN DPG</x:v>
      </x:c>
      <x:c r="D52" s="44" t="str">
        <x:v>Cabreuva EO 50% w/w in DPG</x:v>
      </x:c>
      <x:c r="E52" s="44"/>
      <x:c r="F52" s="44" t="str">
        <x:v>Woody / floral</x:v>
      </x:c>
      <x:c r="G52" s="44"/>
      <x:c r="H52" s="46"/>
      <x:c r="I52" s="44" t="n">
        <x:v>0</x:v>
      </x:c>
      <x:c r="J52" s="44" t="n">
        <x:v>0</x:v>
      </x:c>
      <x:c r="K52" s="44"/>
      <x:c r="L52" s="44"/>
      <x:c r="M52" s="44" t="str">
        <x:v>Use only with exact label/stock-strength accounting.</x:v>
      </x:c>
      <x:c r="N52" s="44" t="str">
        <x:v>User confirmed ownership on 2026-08-07.</x:v>
      </x:c>
    </x:row>
    <x:row r="53" ht="46" customHeight="1">
      <x:c r="A53" s="44"/>
      <x:c r="B53" s="44" t="str">
        <x:v>Calone 1% in DPG</x:v>
      </x:c>
      <x:c r="C53" s="44" t="str">
        <x:v>HAVE</x:v>
      </x:c>
      <x:c r="D53" s="44" t="str">
        <x:v>1% in DPG</x:v>
      </x:c>
      <x:c r="E53" s="44"/>
      <x:c r="F53" s="44" t="str">
        <x:v>Marine</x:v>
      </x:c>
      <x:c r="G53" s="44"/>
      <x:c r="H53" s="46"/>
      <x:c r="I53" s="44" t="n">
        <x:v>0</x:v>
      </x:c>
      <x:c r="J53" s="44" t="n">
        <x:v>0</x:v>
      </x:c>
      <x:c r="K53" s="44"/>
      <x:c r="L53" s="44"/>
      <x:c r="M53" s="44" t="str">
        <x:v>Use only with exact label/stock-strength accounting.</x:v>
      </x:c>
      <x:c r="N53" s="44" t="str">
        <x:v>Newly added.</x:v>
      </x:c>
    </x:row>
    <x:row r="54" ht="46" customHeight="1">
      <x:c r="A54" s="44" t="n">
        <x:v>40</x:v>
      </x:c>
      <x:c r="B54" s="44" t="str">
        <x:v>Camellia Accord 10%</x:v>
      </x:c>
      <x:c r="C54" s="44" t="str">
        <x:v>GAP</x:v>
      </x:c>
      <x:c r="D54" s="44"/>
      <x:c r="E54" s="44"/>
      <x:c r="F54" s="44" t="str">
        <x:v>Air floral</x:v>
      </x:c>
      <x:c r="G54" s="44" t="str">
        <x:v>10% target-required accord</x:v>
      </x:c>
      <x:c r="H54" s="46" t="n">
        <x:v>0.1</x:v>
      </x:c>
      <x:c r="I54" s="44" t="n">
        <x:v>1</x:v>
      </x:c>
      <x:c r="J54" s="44" t="n">
        <x:v>1</x:v>
      </x:c>
      <x:c r="K54" s="44" t="str">
        <x:v>AM-L08</x:v>
      </x:c>
      <x:c r="L54" s="44"/>
      <x:c r="M54" s="44" t="str">
        <x:v>Do not substitute silently; target-required material is not in stock.</x:v>
      </x:c>
      <x:c r="N54" s="44" t="str">
        <x:v>No Camellia Accord.</x:v>
      </x:c>
    </x:row>
    <x:row r="55" ht="46" customHeight="1">
      <x:c r="A55" s="44"/>
      <x:c r="B55" s="44" t="str">
        <x:v>Caraway Seed EO 10% in DPG</x:v>
      </x:c>
      <x:c r="C55" s="44" t="str">
        <x:v>HAVE — 10% W/W IN DPG</x:v>
      </x:c>
      <x:c r="D55" s="44" t="str">
        <x:v>Caraway Seed EO 10% w/w in DPG</x:v>
      </x:c>
      <x:c r="E55" s="44"/>
      <x:c r="F55" s="44" t="str">
        <x:v>Spice / aromatic</x:v>
      </x:c>
      <x:c r="G55" s="44"/>
      <x:c r="H55" s="46"/>
      <x:c r="I55" s="44" t="n">
        <x:v>0</x:v>
      </x:c>
      <x:c r="J55" s="44" t="n">
        <x:v>0</x:v>
      </x:c>
      <x:c r="K55" s="44"/>
      <x:c r="L55" s="44"/>
      <x:c r="M55" s="44" t="str">
        <x:v>Use only with exact label/stock-strength accounting.</x:v>
      </x:c>
      <x:c r="N55" s="44" t="str">
        <x:v>User confirmed ownership on 2026-08-07.</x:v>
      </x:c>
    </x:row>
    <x:row r="56" ht="46" customHeight="1">
      <x:c r="A56" s="44" t="n">
        <x:v>41</x:v>
      </x:c>
      <x:c r="B56" s="44" t="str">
        <x:v>Cardamom EO</x:v>
      </x:c>
      <x:c r="C56" s="44" t="str">
        <x:v>HAVE</x:v>
      </x:c>
      <x:c r="D56" s="44" t="str">
        <x:v>neat / as supplied</x:v>
      </x:c>
      <x:c r="E56" s="44"/>
      <x:c r="F56" s="44" t="str">
        <x:v>spice</x:v>
      </x:c>
      <x:c r="G56" s="44" t="str">
        <x:v>neat / as supplied</x:v>
      </x:c>
      <x:c r="H56" s="46" t="n">
        <x:v>1</x:v>
      </x:c>
      <x:c r="I56" s="44" t="n">
        <x:v>81</x:v>
      </x:c>
      <x:c r="J56" s="44" t="n">
        <x:v>81</x:v>
      </x:c>
      <x:c r="K56" s="44" t="str">
        <x:v>AM-E01, AM-E02, AM-E03, AM-E04, AM-E05, AM-E06, AM-E07, AM-E08, AM-E09, AM-E10, AM-E11, AM-E12, AM-E13, AM-E14, AM-E15, AM-E16, AM-L01, AM-L02, AM-L03, AM-L04, AM-L05, AM-L06, AM-L07, AM-L08, AM-L09, AM-N01, AM-N02, AM-N03, AM-N04, AM-N05, AM-N06, AM-N07, AM-N08, AM-N09, AM-N10, AM-N11, AM-N12, AM-N13, AM-N14, AM-N15, AM-N16, C05, C07, C08, H01, H02, H03, H08, H11, H12, H14, H15, O01, O03, PR-E07, PR-E09, PR-L04, PR-L05, PR-N02, PR-N12, PR-N14, S01, S02, S03, S04, S06, S07, S08, Y02, Y03, Y04, Y05, Y06, Y07, Y08, Y09, Y10, Y11, Y12, Y13, Y14</x:v>
      </x:c>
      <x:c r="L56" s="44"/>
      <x:c r="M56" s="44" t="str">
        <x:v>Use only at the listed supplied-stock strength.</x:v>
      </x:c>
      <x:c r="N56" s="44" t="str">
        <x:v>Unchanged from prior register.</x:v>
      </x:c>
    </x:row>
    <x:row r="57" ht="46" customHeight="1">
      <x:c r="A57" s="44" t="n">
        <x:v>42</x:v>
      </x:c>
      <x:c r="B57" s="44" t="str">
        <x:v>Carrot Seed EO 1%</x:v>
      </x:c>
      <x:c r="C57" s="44" t="str">
        <x:v>HAVE — NEAT ONLY</x:v>
      </x:c>
      <x:c r="D57" s="44" t="str">
        <x:v>Carrot Seed EO neat</x:v>
      </x:c>
      <x:c r="E57" s="44" t="str">
        <x:v>Prepare 1% only if required.</x:v>
      </x:c>
      <x:c r="F57" s="44" t="str">
        <x:v>Iris / violet</x:v>
      </x:c>
      <x:c r="G57" s="44" t="str">
        <x:v>1% working stock</x:v>
      </x:c>
      <x:c r="H57" s="46" t="n">
        <x:v>0.01</x:v>
      </x:c>
      <x:c r="I57" s="44" t="n">
        <x:v>10</x:v>
      </x:c>
      <x:c r="J57" s="44" t="n">
        <x:v>10</x:v>
      </x:c>
      <x:c r="K57" s="44" t="str">
        <x:v>AM-E01, AM-E09, AM-E10, AM-N01, AM-N12, AM-N16, PR-E02, PR-L03, PR-N02, PR-N11</x:v>
      </x:c>
      <x:c r="L57" s="44"/>
      <x:c r="M57" s="44" t="str">
        <x:v>Do not assume a pre-existing 1% stock.</x:v>
      </x:c>
      <x:c r="N57" s="44" t="str">
        <x:v>User only uses neat Carrot Seed EO.</x:v>
      </x:c>
    </x:row>
    <x:row r="58" ht="46" customHeight="1">
      <x:c r="A58" s="44" t="n">
        <x:v>43</x:v>
      </x:c>
      <x:c r="B58" s="44" t="str">
        <x:v>Carrot Seed EO 10%</x:v>
      </x:c>
      <x:c r="C58" s="44" t="str">
        <x:v>HAVE — NEAT ONLY</x:v>
      </x:c>
      <x:c r="D58" s="44" t="str">
        <x:v>Carrot Seed EO neat</x:v>
      </x:c>
      <x:c r="E58" s="44" t="str">
        <x:v>Prepare 10% only if required.</x:v>
      </x:c>
      <x:c r="F58" s="44" t="str">
        <x:v>orris_violet</x:v>
      </x:c>
      <x:c r="G58" s="44" t="str">
        <x:v>10% working stock</x:v>
      </x:c>
      <x:c r="H58" s="46" t="n">
        <x:v>0.1</x:v>
      </x:c>
      <x:c r="I58" s="44" t="n">
        <x:v>18</x:v>
      </x:c>
      <x:c r="J58" s="44" t="n">
        <x:v>18</x:v>
      </x:c>
      <x:c r="K58" s="44" t="str">
        <x:v>C01, H01, H02, H04, H05, H06, H07, H08, O01, O02, O04, Y06, Y07, Y09, Y10, Y11, Y12, Y13</x:v>
      </x:c>
      <x:c r="L58" s="44"/>
      <x:c r="M58" s="44" t="str">
        <x:v>Duplicate dilution entry; canonical stock is neat Carrot Seed EO.</x:v>
      </x:c>
      <x:c r="N58" s="44" t="str">
        <x:v>User only uses neat Carrot Seed EO.</x:v>
      </x:c>
    </x:row>
    <x:row r="59" ht="46" customHeight="1">
      <x:c r="A59" s="44" t="n">
        <x:v>44</x:v>
      </x:c>
      <x:c r="B59" s="44" t="str">
        <x:v>Cashmeran 20%</x:v>
      </x:c>
      <x:c r="C59" s="44" t="str">
        <x:v>HAVE — MULTIPLE STOCKS</x:v>
      </x:c>
      <x:c r="D59" s="44" t="str">
        <x:v>Cashmeran neat and Cashmeran 20% in DPG</x:v>
      </x:c>
      <x:c r="E59" s="44"/>
      <x:c r="F59" s="44" t="str">
        <x:v>Woods / amber</x:v>
      </x:c>
      <x:c r="G59" s="44" t="str">
        <x:v>20% in DPG</x:v>
      </x:c>
      <x:c r="H59" s="46" t="n">
        <x:v>0.2</x:v>
      </x:c>
      <x:c r="I59" s="44" t="n">
        <x:v>28</x:v>
      </x:c>
      <x:c r="J59" s="44" t="n">
        <x:v>28</x:v>
      </x:c>
      <x:c r="K59" s="44" t="str">
        <x:v>C05, C07, C08, H14, H15, PR-E02, PR-E03, PR-E04, PR-E05, PR-E06, PR-E07, PR-E09, PR-L01, PR-L02, PR-L04, PR-L05, PR-N01, PR-N02, PR-N03, PR-N04, PR-N05, PR-N06, PR-N07, PR-N08, PR-N09, Y01, Y08, Y14</x:v>
      </x:c>
      <x:c r="L59" s="44"/>
      <x:c r="M59" s="44" t="str">
        <x:v>Formula must specify neat or 20% stock.</x:v>
      </x:c>
      <x:c r="N59" s="44" t="str">
        <x:v>Neat Cashmeran is also available.</x:v>
      </x:c>
    </x:row>
    <x:row r="60" ht="46" customHeight="1">
      <x:c r="A60" s="44" t="n">
        <x:v>46</x:v>
      </x:c>
      <x:c r="B60" s="44" t="str">
        <x:v>Castoreum Synthetic</x:v>
      </x:c>
      <x:c r="C60" s="44" t="str">
        <x:v>HAVE — PRODUCT BASIS</x:v>
      </x:c>
      <x:c r="D60" s="44" t="str">
        <x:v>Castoreum Synthetic as supplied</x:v>
      </x:c>
      <x:c r="E60" s="44"/>
      <x:c r="F60" s="44" t="str">
        <x:v>leather</x:v>
      </x:c>
      <x:c r="G60" s="44" t="str">
        <x:v>10% prepared from neat</x:v>
      </x:c>
      <x:c r="H60" s="46" t="n">
        <x:v>0.1</x:v>
      </x:c>
      <x:c r="I60" s="44" t="n">
        <x:v>8</x:v>
      </x:c>
      <x:c r="J60" s="44" t="n">
        <x:v>8</x:v>
      </x:c>
      <x:c r="K60" s="44" t="str">
        <x:v>H01, H04, H06, H07, H08, O02, Y03, Y04</x:v>
      </x:c>
      <x:c r="L60" s="44" t="str">
        <x:v>Synthetic castoreum product basis; composition not inferred.</x:v>
      </x:c>
      <x:c r="M60" s="44" t="str">
        <x:v>Count once as a product basis.</x:v>
      </x:c>
      <x:c r="N60" s="44" t="str">
        <x:v>User confirmed ownership on 2026-08-07.</x:v>
      </x:c>
    </x:row>
    <x:row r="61" ht="46" customHeight="1">
      <x:c r="A61" s="44" t="n">
        <x:v>47</x:v>
      </x:c>
      <x:c r="B61" s="44" t="str">
        <x:v>Cedarwood Atlas</x:v>
      </x:c>
      <x:c r="C61" s="44" t="str">
        <x:v>GAP — ATLAS</x:v>
      </x:c>
      <x:c r="D61" s="44" t="str">
        <x:v>Cedarwood Himalayan EO available; Cedarwood Atlas not available</x:v>
      </x:c>
      <x:c r="E61" s="44"/>
      <x:c r="F61" s="44" t="str">
        <x:v>Woods / amber</x:v>
      </x:c>
      <x:c r="G61" s="44" t="str">
        <x:v>neat / as supplied; verify stock</x:v>
      </x:c>
      <x:c r="H61" s="46" t="n">
        <x:v>1</x:v>
      </x:c>
      <x:c r="I61" s="44" t="n">
        <x:v>5</x:v>
      </x:c>
      <x:c r="J61" s="44" t="n">
        <x:v>5</x:v>
      </x:c>
      <x:c r="K61" s="44" t="str">
        <x:v>PR-L04, PR-L05, PR-N04, PR-N10, Y12</x:v>
      </x:c>
      <x:c r="L61" s="44" t="str">
        <x:v>Cedarwood Himalayan is not Cedarwood Atlas.</x:v>
      </x:c>
      <x:c r="M61" s="44" t="str">
        <x:v>Do not relabel Himalayan cedar as Atlas cedar. Add Himalayan as its own material.</x:v>
      </x:c>
      <x:c r="N61" s="44" t="str">
        <x:v>User owns Himalayan cedarwood, not Atlas.</x:v>
      </x:c>
    </x:row>
    <x:row r="62" ht="46" customHeight="1">
      <x:c r="A62" s="44"/>
      <x:c r="B62" s="44" t="str">
        <x:v>Cedarwood EO (China; species unspecified)</x:v>
      </x:c>
      <x:c r="C62" s="44" t="str">
        <x:v>HAVE — NEAT / CHINA ORIGIN / SPECIES UNRESOLVED</x:v>
      </x:c>
      <x:c r="D62" s="44" t="str">
        <x:v>Cedarwood EO, China origin, neat/as supplied; botanical species not stated</x:v>
      </x:c>
      <x:c r="E62" s="44"/>
      <x:c r="F62" s="44" t="str">
        <x:v>Woods</x:v>
      </x:c>
      <x:c r="G62" s="44"/>
      <x:c r="H62" s="46"/>
      <x:c r="I62" s="44" t="n">
        <x:v>0</x:v>
      </x:c>
      <x:c r="J62" s="44" t="n">
        <x:v>0</x:v>
      </x:c>
      <x:c r="K62" s="44"/>
      <x:c r="L62" s="44" t="str">
        <x:v>Not equivalent to Cedarwood Virginia, Himalayan, Atlas or another species-specific oil.</x:v>
      </x:c>
      <x:c r="M62" s="44" t="str">
        <x:v>Use only where a generic China-origin cedarwood is acceptable; do not satisfy a species-specific claim.</x:v>
      </x:c>
      <x:c r="N62" s="44" t="str">
        <x:v>User confirmed ownership on 2026-08-07.</x:v>
      </x:c>
    </x:row>
    <x:row r="63" ht="46" customHeight="1">
      <x:c r="A63" s="44"/>
      <x:c r="B63" s="44" t="str">
        <x:v>Cedarwood Himalayan EO</x:v>
      </x:c>
      <x:c r="C63" s="44" t="str">
        <x:v>HAVE</x:v>
      </x:c>
      <x:c r="D63" s="44" t="str">
        <x:v>neat/as supplied</x:v>
      </x:c>
      <x:c r="E63" s="44"/>
      <x:c r="F63" s="44" t="str">
        <x:v>Woods</x:v>
      </x:c>
      <x:c r="G63" s="44"/>
      <x:c r="H63" s="46"/>
      <x:c r="I63" s="44" t="n">
        <x:v>0</x:v>
      </x:c>
      <x:c r="J63" s="44" t="n">
        <x:v>0</x:v>
      </x:c>
      <x:c r="K63" s="44"/>
      <x:c r="L63" s="44"/>
      <x:c r="M63" s="44" t="str">
        <x:v>Use only with exact label/stock-strength accounting.</x:v>
      </x:c>
      <x:c r="N63" s="44" t="str">
        <x:v>Distinct from Cedarwood Atlas.</x:v>
      </x:c>
    </x:row>
    <x:row r="64" ht="46" customHeight="1">
      <x:c r="A64" s="44" t="n">
        <x:v>48</x:v>
      </x:c>
      <x:c r="B64" s="44" t="str">
        <x:v>Cedarwood Virginia</x:v>
      </x:c>
      <x:c r="C64" s="44" t="str">
        <x:v>HAVE</x:v>
      </x:c>
      <x:c r="D64" s="44" t="str">
        <x:v>neat / as supplied</x:v>
      </x:c>
      <x:c r="E64" s="44"/>
      <x:c r="F64" s="44" t="str">
        <x:v>woods_amber</x:v>
      </x:c>
      <x:c r="G64" s="44" t="str">
        <x:v>neat / as supplied</x:v>
      </x:c>
      <x:c r="H64" s="46" t="n">
        <x:v>1</x:v>
      </x:c>
      <x:c r="I64" s="44" t="n">
        <x:v>114</x:v>
      </x:c>
      <x:c r="J64" s="44" t="n">
        <x:v>114</x:v>
      </x:c>
      <x:c r="K64"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PR-E03, PR-E04, PR-E05, PR-E06, PR-E07, PR-E09, PR-L01, PR-L02, PR-L03, PR-L04, PR-L05, PR-N01, PR-N02, PR-N03, PR-N04, PR-N05, PR-N06, PR-N07, PR-N08, PR-N09, PR-N10, S01, S02, S03, S04, S05, S06, S07, S08, Y01, Y02, Y03, Y04, Y05, Y06, Y07, Y08, Y09, Y10, Y11, Y12, Y13, Y14</x:v>
      </x:c>
      <x:c r="L64" s="44"/>
      <x:c r="M64" s="44" t="str">
        <x:v>Use only at the listed supplied-stock strength.</x:v>
      </x:c>
      <x:c r="N64" s="44" t="str">
        <x:v>Unchanged from prior register.</x:v>
      </x:c>
    </x:row>
    <x:row r="65" ht="46" customHeight="1">
      <x:c r="A65" s="44" t="n">
        <x:v>49</x:v>
      </x:c>
      <x:c r="B65" s="44" t="str">
        <x:v>Cedramber 10%</x:v>
      </x:c>
      <x:c r="C65" s="44" t="str">
        <x:v>HAVE — NEAT ONLY</x:v>
      </x:c>
      <x:c r="D65" s="44" t="str">
        <x:v>Cedramber neat</x:v>
      </x:c>
      <x:c r="E65" s="44" t="str">
        <x:v>Prepare 10% only if required.</x:v>
      </x:c>
      <x:c r="F65" s="44" t="str">
        <x:v>Woods / amber</x:v>
      </x:c>
      <x:c r="G65" s="44" t="str">
        <x:v>10% in DPG</x:v>
      </x:c>
      <x:c r="H65" s="46" t="n">
        <x:v>0.1</x:v>
      </x:c>
      <x:c r="I65" s="44" t="n">
        <x:v>7</x:v>
      </x:c>
      <x:c r="J65" s="44" t="n">
        <x:v>7</x:v>
      </x:c>
      <x:c r="K65" s="44" t="str">
        <x:v>C07, C08, PR-E02, PR-E04, PR-E07, Y01, Y08</x:v>
      </x:c>
      <x:c r="L65" s="44"/>
      <x:c r="M65" s="44" t="str">
        <x:v>Use only at the listed supplied-stock strength.</x:v>
      </x:c>
      <x:c r="N65" s="44" t="str">
        <x:v>The listed 10% stock is not the owned form.</x:v>
      </x:c>
    </x:row>
    <x:row r="66" ht="46" customHeight="1">
      <x:c r="A66" s="44" t="n">
        <x:v>50</x:v>
      </x:c>
      <x:c r="B66" s="44" t="str">
        <x:v>Cedrat FCF Oil Sicilian</x:v>
      </x:c>
      <x:c r="C66" s="44" t="str">
        <x:v>OUT OF STOCK — CONFIRMED</x:v>
      </x:c>
      <x:c r="D66" s="44"/>
      <x:c r="E66" s="44"/>
      <x:c r="F66" s="44" t="str">
        <x:v>Citrus top</x:v>
      </x:c>
      <x:c r="G66" s="44" t="str">
        <x:v>neat</x:v>
      </x:c>
      <x:c r="H66" s="46" t="n">
        <x:v>1</x:v>
      </x:c>
      <x:c r="I66" s="44" t="n">
        <x:v>52</x:v>
      </x:c>
      <x:c r="J66" s="44" t="n">
        <x:v>52</x:v>
      </x:c>
      <x:c r="K66" s="44" t="str">
        <x:v>AM-E01, AM-E02, AM-E03, AM-E04, AM-E05, AM-E06, AM-E07, AM-E08, AM-E09, AM-E10, AM-E12, AM-E14, AM-E15, AM-E16, AM-L01, AM-L02, AM-L03, AM-L04, AM-L06, AM-L08, AM-L09, AM-N02, AM-N04, AM-N05, AM-N06, AM-N07, AM-N09, AM-N10, AM-N11, AM-N12, AM-N13, AM-N14, AM-N15, AM-N16, C07, H11, H12, H14, H15, PR-E04, PR-E05, PR-E07, PR-L02, PR-N03, PR-N10, PR-N11, PR-N12, PR-N13, PR-N14, S03, Y01, Y08</x:v>
      </x:c>
      <x:c r="L66" s="44" t="str">
        <x:v>Replacement must be target-specific; no automatic citrus swap.</x:v>
      </x:c>
      <x:c r="M66" s="44" t="str">
        <x:v>Do not use or silently replace. Preserve target row and create a separate substitution branch only if explicitly authorized.</x:v>
      </x:c>
      <x:c r="N66" s="44" t="str">
        <x:v>User explicitly marked Cedrat FCF Oil out of stock on 2026-08-07.</x:v>
      </x:c>
    </x:row>
    <x:row r="67" ht="46" customHeight="1">
      <x:c r="A67" s="44" t="n">
        <x:v>51</x:v>
      </x:c>
      <x:c r="B67" s="44" t="str">
        <x:v>Chrysanthemum Accord 10%</x:v>
      </x:c>
      <x:c r="C67" s="44" t="str">
        <x:v>GAP</x:v>
      </x:c>
      <x:c r="D67" s="44"/>
      <x:c r="E67" s="44"/>
      <x:c r="F67" s="44" t="str">
        <x:v>Air floral</x:v>
      </x:c>
      <x:c r="G67" s="44" t="str">
        <x:v>10% target-required accord</x:v>
      </x:c>
      <x:c r="H67" s="46" t="n">
        <x:v>0.1</x:v>
      </x:c>
      <x:c r="I67" s="44" t="n">
        <x:v>1</x:v>
      </x:c>
      <x:c r="J67" s="44" t="n">
        <x:v>1</x:v>
      </x:c>
      <x:c r="K67" s="44" t="str">
        <x:v>AM-L03</x:v>
      </x:c>
      <x:c r="L67" s="44"/>
      <x:c r="M67" s="44" t="str">
        <x:v>Do not substitute silently; target-required material is not in stock.</x:v>
      </x:c>
      <x:c r="N67" s="44" t="str">
        <x:v>Unchanged from prior register.</x:v>
      </x:c>
    </x:row>
    <x:row r="68" ht="46" customHeight="1">
      <x:c r="A68" s="44"/>
      <x:c r="B68" s="44" t="str">
        <x:v>Cinnamaldehyde 1%</x:v>
      </x:c>
      <x:c r="C68" s="44" t="str">
        <x:v>HAVE — 1%</x:v>
      </x:c>
      <x:c r="D68" s="44" t="str">
        <x:v>Cinnamaldehyde 1% working stock</x:v>
      </x:c>
      <x:c r="E68" s="44"/>
      <x:c r="F68" s="44" t="str">
        <x:v>Spice</x:v>
      </x:c>
      <x:c r="G68" s="44"/>
      <x:c r="H68" s="46"/>
      <x:c r="I68" s="44" t="n">
        <x:v>0</x:v>
      </x:c>
      <x:c r="J68" s="44" t="n">
        <x:v>0</x:v>
      </x:c>
      <x:c r="K68" s="44"/>
      <x:c r="L68" s="44"/>
      <x:c r="M68" s="44" t="str">
        <x:v>Use only with exact label/stock-strength accounting.</x:v>
      </x:c>
      <x:c r="N68" s="44" t="str">
        <x:v>User confirmed ownership on 2026-08-07.</x:v>
      </x:c>
    </x:row>
    <x:row r="69" ht="46" customHeight="1">
      <x:c r="A69" s="44" t="n">
        <x:v>52</x:v>
      </x:c>
      <x:c r="B69" s="44" t="str">
        <x:v>Cinnamon Bark EO 1%</x:v>
      </x:c>
      <x:c r="C69" s="44" t="str">
        <x:v>HAVE — DIFFERENT MATERIAL / PREPARE</x:v>
      </x:c>
      <x:c r="D69" s="44" t="str">
        <x:v>Cinnamon Cassia Blume EO neat</x:v>
      </x:c>
      <x:c r="E69" s="44" t="str">
        <x:v>Can prepare 1% dilution.</x:v>
      </x:c>
      <x:c r="F69" s="44" t="str">
        <x:v>Spice</x:v>
      </x:c>
      <x:c r="G69" s="44" t="str">
        <x:v>1% in DPG</x:v>
      </x:c>
      <x:c r="H69" s="46" t="n">
        <x:v>0.01</x:v>
      </x:c>
      <x:c r="I69" s="44" t="n">
        <x:v>20</x:v>
      </x:c>
      <x:c r="J69" s="44" t="n">
        <x:v>20</x:v>
      </x:c>
      <x:c r="K69" s="44" t="str">
        <x:v>AM-E02, AM-E03, AM-E04, AM-E07, AM-E11, AM-E12, AM-E13, AM-L01, AM-L06, AM-L08, AM-N03, AM-N07, AM-N10, AM-N13, AM-N14, AM-N15, AM-N16, PR-N12, PR-N14, Y08</x:v>
      </x:c>
      <x:c r="L69" s="44" t="str">
        <x:v>Cassia is not identical to Ceylon cinnamon bark oil.</x:v>
      </x:c>
      <x:c r="M69" s="44" t="str">
        <x:v>Use only when cassia is acceptable for the target; do not silently label it Cinnamon Bark EO.</x:v>
      </x:c>
      <x:c r="N69" s="44" t="str">
        <x:v>User has Cinnamon cassia Blume EO.</x:v>
      </x:c>
    </x:row>
    <x:row r="70" ht="46" customHeight="1">
      <x:c r="A70" s="44" t="n">
        <x:v>53</x:v>
      </x:c>
      <x:c r="B70" s="44" t="str">
        <x:v>cis-3-Hexenol 1%</x:v>
      </x:c>
      <x:c r="C70" s="44" t="str">
        <x:v>HAVE — 1%</x:v>
      </x:c>
      <x:c r="D70" s="44" t="str">
        <x:v>cis-3-Hexenol 1% working stock</x:v>
      </x:c>
      <x:c r="E70" s="44"/>
      <x:c r="F70" s="44" t="str">
        <x:v>green_fruit</x:v>
      </x:c>
      <x:c r="G70" s="44" t="str">
        <x:v>1% working stock</x:v>
      </x:c>
      <x:c r="H70" s="46" t="n">
        <x:v>0.01</x:v>
      </x:c>
      <x:c r="I70" s="44" t="n">
        <x:v>8</x:v>
      </x:c>
      <x:c r="J70" s="44" t="n">
        <x:v>8</x:v>
      </x:c>
      <x:c r="K70" s="44" t="str">
        <x:v>C03, C04, O04, Y07, Y10, Y12, Y13, Y14</x:v>
      </x:c>
      <x:c r="L70" s="44"/>
      <x:c r="M70" s="44" t="str">
        <x:v>Use only at the listed supplied-stock strength.</x:v>
      </x:c>
      <x:c r="N70" s="44" t="str">
        <x:v>User confirmed ownership on 2026-08-07.</x:v>
      </x:c>
    </x:row>
    <x:row r="71" ht="46" customHeight="1">
      <x:c r="A71" s="44"/>
      <x:c r="B71" s="44" t="str">
        <x:v>cis-Jasmone</x:v>
      </x:c>
      <x:c r="C71" s="44" t="str">
        <x:v>HAVE — NEAT</x:v>
      </x:c>
      <x:c r="D71" s="44" t="str">
        <x:v>cis-Jasmone neat/as supplied</x:v>
      </x:c>
      <x:c r="E71" s="44"/>
      <x:c r="F71" s="44" t="str">
        <x:v>Jasmine / floral</x:v>
      </x:c>
      <x:c r="G71" s="44"/>
      <x:c r="H71" s="46"/>
      <x:c r="I71" s="44" t="n">
        <x:v>0</x:v>
      </x:c>
      <x:c r="J71" s="44" t="n">
        <x:v>0</x:v>
      </x:c>
      <x:c r="K71" s="44"/>
      <x:c r="L71" s="44"/>
      <x:c r="M71" s="44" t="str">
        <x:v>Use only with exact label/stock-strength accounting.</x:v>
      </x:c>
      <x:c r="N71" s="44" t="str">
        <x:v>User confirmed ownership on 2026-08-07.</x:v>
      </x:c>
    </x:row>
    <x:row r="72" ht="46" customHeight="1">
      <x:c r="A72" s="44" t="n">
        <x:v>55</x:v>
      </x:c>
      <x:c r="B72" s="44" t="str">
        <x:v>Citral Natural</x:v>
      </x:c>
      <x:c r="C72" s="44" t="str">
        <x:v>HAVE — NEAT ONLY</x:v>
      </x:c>
      <x:c r="D72" s="44" t="str">
        <x:v>Citral Natural neat</x:v>
      </x:c>
      <x:c r="E72" s="44" t="str">
        <x:v>Prepare 10% when required.</x:v>
      </x:c>
      <x:c r="F72" s="44" t="str">
        <x:v>Citrus top</x:v>
      </x:c>
      <x:c r="G72" s="44" t="str">
        <x:v>10% working dilution</x:v>
      </x:c>
      <x:c r="H72" s="46" t="n">
        <x:v>0.1</x:v>
      </x:c>
      <x:c r="I72" s="44" t="n">
        <x:v>13</x:v>
      </x:c>
      <x:c r="J72" s="44" t="n">
        <x:v>13</x:v>
      </x:c>
      <x:c r="K72" s="44" t="str">
        <x:v>AM-E04, AM-E12, AM-E16, AM-L02, AM-N04, AM-N14, AM-N15, PR-E05, PR-N03, PR-N10, PR-N11, PR-N12, PR-N13</x:v>
      </x:c>
      <x:c r="L72" s="44"/>
      <x:c r="M72" s="44" t="str">
        <x:v>Use only at the listed supplied-stock strength.</x:v>
      </x:c>
      <x:c r="N72" s="44" t="str">
        <x:v>User has neat Citral Natural.</x:v>
      </x:c>
    </x:row>
    <x:row r="73" ht="46" customHeight="1">
      <x:c r="A73" s="44" t="n">
        <x:v>56</x:v>
      </x:c>
      <x:c r="B73" s="44" t="str">
        <x:v>Citronellol 10%</x:v>
      </x:c>
      <x:c r="C73" s="44" t="str">
        <x:v>HAVE — NEAT</x:v>
      </x:c>
      <x:c r="D73" s="44" t="str">
        <x:v>Citronellol neat/as supplied</x:v>
      </x:c>
      <x:c r="E73" s="44" t="str">
        <x:v>Prepare 10% only when required.</x:v>
      </x:c>
      <x:c r="F73" s="44" t="str">
        <x:v>air_floral</x:v>
      </x:c>
      <x:c r="G73" s="44" t="str">
        <x:v>10% working stock</x:v>
      </x:c>
      <x:c r="H73" s="46" t="n">
        <x:v>0.1</x:v>
      </x:c>
      <x:c r="I73" s="44" t="n">
        <x:v>31</x:v>
      </x:c>
      <x:c r="J73" s="44" t="n">
        <x:v>31</x:v>
      </x:c>
      <x:c r="K73" s="44" t="str">
        <x:v>AM-E01, AM-E02, AM-E04, AM-E05, AM-E07, AM-E09, AM-E11, AM-E14, AM-E15, AM-L01, AM-L04, AM-L08, AM-N04, AM-N05, AM-N06, AM-N15, C01, H06, H13, H14, H15, PR-E01, PR-E03, PR-E09, PR-L04, PR-N06, S01, S02, S03, Y06, Y14</x:v>
      </x:c>
      <x:c r="L73" s="44"/>
      <x:c r="M73" s="44" t="str">
        <x:v>Do not dose as the old 10% volume unless a fresh 10% stock is prepared and recorded.</x:v>
      </x:c>
      <x:c r="N73" s="44" t="str">
        <x:v>User confirmed ownership on 2026-08-07.</x:v>
      </x:c>
    </x:row>
    <x:row r="74" ht="46" customHeight="1">
      <x:c r="A74" s="44" t="n">
        <x:v>57</x:v>
      </x:c>
      <x:c r="B74" s="44" t="str">
        <x:v>Civet Base 10%</x:v>
      </x:c>
      <x:c r="C74" s="44" t="str">
        <x:v>GAP / CLARIFIED</x:v>
      </x:c>
      <x:c r="D74" s="44"/>
      <x:c r="E74" s="44"/>
      <x:c r="F74" s="44" t="str">
        <x:v>Leather / smoke</x:v>
      </x:c>
      <x:c r="G74" s="44" t="str">
        <x:v>10% target-required accord</x:v>
      </x:c>
      <x:c r="H74" s="46" t="n">
        <x:v>0.1</x:v>
      </x:c>
      <x:c r="I74" s="44" t="n">
        <x:v>1</x:v>
      </x:c>
      <x:c r="J74" s="44" t="n">
        <x:v>1</x:v>
      </x:c>
      <x:c r="K74" s="44" t="str">
        <x:v>AM-N05</x:v>
      </x:c>
      <x:c r="L74" s="44" t="str">
        <x:v>Civet Base is neither Costus Olifac nor Castoreum.</x:v>
      </x:c>
      <x:c r="M74" s="44" t="str">
        <x:v>Keep Civet Base as a separate gap.</x:v>
      </x:c>
      <x:c r="N74" s="44" t="str">
        <x:v>User asked whether this meant costus or castoreum.</x:v>
      </x:c>
    </x:row>
    <x:row r="75" ht="46" customHeight="1">
      <x:c r="A75" s="44" t="n">
        <x:v>58</x:v>
      </x:c>
      <x:c r="B75" s="44" t="str">
        <x:v>Clary Sage EO</x:v>
      </x:c>
      <x:c r="C75" s="44" t="str">
        <x:v>HAVE</x:v>
      </x:c>
      <x:c r="D75" s="44" t="str">
        <x:v>neat / as supplied</x:v>
      </x:c>
      <x:c r="E75" s="44"/>
      <x:c r="F75" s="44" t="str">
        <x:v>aromatic_top</x:v>
      </x:c>
      <x:c r="G75" s="44" t="str">
        <x:v>neat / as supplied</x:v>
      </x:c>
      <x:c r="H75" s="46" t="n">
        <x:v>1</x:v>
      </x:c>
      <x:c r="I75" s="44" t="n">
        <x:v>79</x:v>
      </x:c>
      <x:c r="J75" s="44" t="n">
        <x:v>79</x:v>
      </x:c>
      <x:c r="K75" s="44" t="str">
        <x:v>AM-E01, AM-E02, AM-E03, AM-E04, AM-E05, AM-E06, AM-E07, AM-E08, AM-E09, AM-E10, AM-E11, AM-E12, AM-E13, AM-E14, AM-E15, AM-E16, AM-L01, AM-L02, AM-L03, AM-L04, AM-L05, AM-L06, AM-L07, AM-L08, AM-L09, AM-N01, AM-N02, AM-N03, AM-N04, AM-N05, AM-N06, AM-N07, AM-N08, AM-N09, AM-N10, AM-N11, AM-N12, AM-N13, AM-N14, AM-N15, AM-N16, C05, C07, C08, H01, H02, H03, H08, H11, H13, H14, O01, O03, PR-E01, PR-E03, PR-E04, PR-E05, PR-E06, PR-E07, PR-E09, PR-L01, PR-L04, PR-N01, PR-N02, PR-N13, S01, S02, S03, S04, S07, S08, Y01, Y02, Y03, Y04, Y05, Y06, Y07, Y08</x:v>
      </x:c>
      <x:c r="L75" s="44"/>
      <x:c r="M75" s="44" t="str">
        <x:v>Use only at the listed supplied-stock strength.</x:v>
      </x:c>
      <x:c r="N75" s="44" t="str">
        <x:v>Unchanged from prior register.</x:v>
      </x:c>
    </x:row>
    <x:row r="76" ht="46" customHeight="1">
      <x:c r="A76" s="44" t="n">
        <x:v>59</x:v>
      </x:c>
      <x:c r="B76" s="44" t="str">
        <x:v>Clearwood</x:v>
      </x:c>
      <x:c r="C76" s="44" t="str">
        <x:v>OUT OF STOCK</x:v>
      </x:c>
      <x:c r="D76" s="44"/>
      <x:c r="E76" s="44"/>
      <x:c r="F76" s="44" t="str">
        <x:v>woods_amber</x:v>
      </x:c>
      <x:c r="G76" s="44" t="str">
        <x:v>neat / as supplied</x:v>
      </x:c>
      <x:c r="H76" s="46" t="n">
        <x:v>1</x:v>
      </x:c>
      <x:c r="I76" s="44" t="n">
        <x:v>95</x:v>
      </x:c>
      <x:c r="J76" s="44" t="n">
        <x:v>95</x:v>
      </x:c>
      <x:c r="K76" s="44" t="str">
        <x:v>AM-E01, AM-E02, AM-E03, AM-E04, AM-E05, AM-E06, AM-E07, AM-E08, AM-E09, AM-E10, AM-E11, AM-E12, AM-E13, AM-E14, AM-E15, AM-E16, AM-L01, AM-L02, AM-L03, AM-L04, AM-L05, AM-L06, AM-L07, AM-L08, AM-L09, AM-N01, AM-N02, AM-N03, AM-N04, AM-N05, AM-N06, AM-N07, AM-N08, AM-N09, AM-N10, AM-N11, AM-N12, AM-N13, AM-N14, AM-N15, AM-N16, C07, C08, H01, H02, H03, H04, H05, H06, H07, H08, H10, H11, H12, H13, H14, H15, O01, O03, O05, O06, PR-E01, PR-E02, PR-E04, PR-E05, PR-E07, PR-E09, PR-N01, PR-N02, PR-N03, PR-N05, PR-N06, PR-N07, PR-N08, PR-N09, S01, S02, S03, S04, S05, S06, S07, S08, Y01, Y02, Y03, Y04, Y05, Y06, Y07, Y08, Y10, Y12, Y13, Y14</x:v>
      </x:c>
      <x:c r="L76" s="44"/>
      <x:c r="M76" s="44" t="str">
        <x:v>Remove Clearwood from executable formulas; keep as inventory gap if target requires it.</x:v>
      </x:c>
      <x:c r="N76" s="44" t="str">
        <x:v>Clearwood is out of stock.</x:v>
      </x:c>
    </x:row>
    <x:row r="77" ht="46" customHeight="1">
      <x:c r="A77" s="44"/>
      <x:c r="B77" s="44" t="str">
        <x:v>Cocoa Absolute</x:v>
      </x:c>
      <x:c r="C77" s="44" t="str">
        <x:v>HAVE</x:v>
      </x:c>
      <x:c r="D77" s="44" t="str">
        <x:v>as supplied</x:v>
      </x:c>
      <x:c r="E77" s="44"/>
      <x:c r="F77" s="44" t="str">
        <x:v>Gourmand</x:v>
      </x:c>
      <x:c r="G77" s="44"/>
      <x:c r="H77" s="46"/>
      <x:c r="I77" s="44" t="n">
        <x:v>0</x:v>
      </x:c>
      <x:c r="J77" s="44" t="n">
        <x:v>0</x:v>
      </x:c>
      <x:c r="K77" s="44"/>
      <x:c r="L77" s="44"/>
      <x:c r="M77" s="44" t="str">
        <x:v>Use only with exact label/stock-strength accounting.</x:v>
      </x:c>
      <x:c r="N77" s="44" t="str">
        <x:v>Newly added.</x:v>
      </x:c>
    </x:row>
    <x:row r="78" ht="52" customHeight="1">
      <x:c r="A78" s="44" t="n">
        <x:v>60</x:v>
      </x:c>
      <x:c r="B78" s="44" t="str">
        <x:v>Cocoa Absolute 10%</x:v>
      </x:c>
      <x:c r="C78" s="44" t="str">
        <x:v>HAVE — PREPARE 10%</x:v>
      </x:c>
      <x:c r="D78" s="44" t="str">
        <x:v>Cocoa Absolute as supplied</x:v>
      </x:c>
      <x:c r="E78" s="44" t="str">
        <x:v>Prepare Cocoa Absolute 10% in DPG when required.</x:v>
      </x:c>
      <x:c r="F78" s="44" t="str">
        <x:v>Sweet balsamic</x:v>
      </x:c>
      <x:c r="G78" s="44" t="str">
        <x:v>10% target-required working dilution</x:v>
      </x:c>
      <x:c r="H78" s="46" t="n">
        <x:v>0.1</x:v>
      </x:c>
      <x:c r="I78" s="44" t="n">
        <x:v>5</x:v>
      </x:c>
      <x:c r="J78" s="44" t="n">
        <x:v>5</x:v>
      </x:c>
      <x:c r="K78" s="44" t="str">
        <x:v>AM-E12, AM-N10, H01, H07, H08</x:v>
      </x:c>
      <x:c r="L78" s="44" t="str">
        <x:v>Cocoa Absolute and Cocoa CO2 7.7% are separate extracts.</x:v>
      </x:c>
      <x:c r="M78" s="44" t="str">
        <x:v>Use the explicit 10% DPG dilution in formulas written for Cocoa Absolute 10%.</x:v>
      </x:c>
      <x:c r="N78" s="44" t="str">
        <x:v>User can prepare the listed 10% stock from owned Cocoa Absolute.</x:v>
      </x:c>
    </x:row>
    <x:row r="79" ht="46" customHeight="1">
      <x:c r="A79" s="44"/>
      <x:c r="B79" s="44" t="str">
        <x:v>Cocoa CO2 Extract 7.7%</x:v>
      </x:c>
      <x:c r="C79" s="44" t="str">
        <x:v>HAVE</x:v>
      </x:c>
      <x:c r="D79" s="44" t="str">
        <x:v>7.7% stock</x:v>
      </x:c>
      <x:c r="E79" s="44"/>
      <x:c r="F79" s="44" t="str">
        <x:v>Gourmand</x:v>
      </x:c>
      <x:c r="G79" s="44"/>
      <x:c r="H79" s="46"/>
      <x:c r="I79" s="44" t="n">
        <x:v>0</x:v>
      </x:c>
      <x:c r="J79" s="44" t="n">
        <x:v>0</x:v>
      </x:c>
      <x:c r="K79" s="44"/>
      <x:c r="L79" s="44"/>
      <x:c r="M79" s="44" t="str">
        <x:v>Use only with exact label/stock-strength accounting.</x:v>
      </x:c>
      <x:c r="N79" s="44" t="str">
        <x:v>Different from Cocoa Absolute.</x:v>
      </x:c>
    </x:row>
    <x:row r="80" ht="46" customHeight="1">
      <x:c r="A80" s="44"/>
      <x:c r="B80" s="44" t="str">
        <x:v>Coffee Absolute Grasse 10% in DPG</x:v>
      </x:c>
      <x:c r="C80" s="44" t="str">
        <x:v>HAVE</x:v>
      </x:c>
      <x:c r="D80" s="44" t="str">
        <x:v>10% in DPG</x:v>
      </x:c>
      <x:c r="E80" s="44"/>
      <x:c r="F80" s="44" t="str">
        <x:v>Coffee / gourmand</x:v>
      </x:c>
      <x:c r="G80" s="44"/>
      <x:c r="H80" s="46"/>
      <x:c r="I80" s="44" t="n">
        <x:v>0</x:v>
      </x:c>
      <x:c r="J80" s="44" t="n">
        <x:v>0</x:v>
      </x:c>
      <x:c r="K80" s="44"/>
      <x:c r="L80" s="44"/>
      <x:c r="M80" s="44" t="str">
        <x:v>Use only with exact label/stock-strength accounting.</x:v>
      </x:c>
      <x:c r="N80" s="44" t="str">
        <x:v>Not Coffee CO2.</x:v>
      </x:c>
    </x:row>
    <x:row r="81" ht="46" customHeight="1">
      <x:c r="A81" s="44" t="n">
        <x:v>61</x:v>
      </x:c>
      <x:c r="B81" s="44" t="str">
        <x:v>Coffee CO2 10%</x:v>
      </x:c>
      <x:c r="C81" s="44" t="str">
        <x:v>GAP — CO2</x:v>
      </x:c>
      <x:c r="D81" s="44"/>
      <x:c r="E81" s="44"/>
      <x:c r="F81" s="44" t="str">
        <x:v>Sweet balsamic</x:v>
      </x:c>
      <x:c r="G81" s="44" t="str">
        <x:v>10% target-required working dilution</x:v>
      </x:c>
      <x:c r="H81" s="46" t="n">
        <x:v>0.1</x:v>
      </x:c>
      <x:c r="I81" s="44" t="n">
        <x:v>1</x:v>
      </x:c>
      <x:c r="J81" s="44" t="n">
        <x:v>1</x:v>
      </x:c>
      <x:c r="K81" s="44" t="str">
        <x:v>H07</x:v>
      </x:c>
      <x:c r="L81" s="44" t="str">
        <x:v>Coffee Absolute Grasse 10% DPG is available as a different material.</x:v>
      </x:c>
      <x:c r="M81" s="44" t="str">
        <x:v>Do not treat Coffee Absolute as Coffee CO2.</x:v>
      </x:c>
      <x:c r="N81" s="44" t="str">
        <x:v>No Coffee CO2.</x:v>
      </x:c>
    </x:row>
    <x:row r="82" ht="46" customHeight="1">
      <x:c r="A82" s="44" t="n">
        <x:v>62</x:v>
      </x:c>
      <x:c r="B82" s="44" t="str">
        <x:v>Cognac EO 10%</x:v>
      </x:c>
      <x:c r="C82" s="44" t="str">
        <x:v>GAP</x:v>
      </x:c>
      <x:c r="D82" s="44"/>
      <x:c r="E82" s="44"/>
      <x:c r="F82" s="44" t="str">
        <x:v>Sweet balsamic</x:v>
      </x:c>
      <x:c r="G82" s="44" t="str">
        <x:v>10% target-required working dilution</x:v>
      </x:c>
      <x:c r="H82" s="46" t="n">
        <x:v>0.1</x:v>
      </x:c>
      <x:c r="I82" s="44" t="n">
        <x:v>1</x:v>
      </x:c>
      <x:c r="J82" s="44" t="n">
        <x:v>1</x:v>
      </x:c>
      <x:c r="K82" s="44" t="str">
        <x:v>AM-E02</x:v>
      </x:c>
      <x:c r="L82" s="44"/>
      <x:c r="M82" s="44" t="str">
        <x:v>Do not substitute silently; target-required material is not in stock.</x:v>
      </x:c>
      <x:c r="N82" s="44" t="str">
        <x:v>No Cognac EO.</x:v>
      </x:c>
    </x:row>
    <x:row r="83" ht="46" customHeight="1">
      <x:c r="A83" s="44" t="n">
        <x:v>63</x:v>
      </x:c>
      <x:c r="B83" s="44" t="str">
        <x:v>Coriander Seed EO</x:v>
      </x:c>
      <x:c r="C83" s="44" t="str">
        <x:v>HAVE</x:v>
      </x:c>
      <x:c r="D83" s="44" t="str">
        <x:v>Coriander Seed EO neat</x:v>
      </x:c>
      <x:c r="E83" s="44"/>
      <x:c r="F83" s="44" t="str">
        <x:v>spice</x:v>
      </x:c>
      <x:c r="G83" s="44" t="str">
        <x:v>neat / as supplied</x:v>
      </x:c>
      <x:c r="H83" s="46" t="n">
        <x:v>1</x:v>
      </x:c>
      <x:c r="I83" s="44" t="n">
        <x:v>71</x:v>
      </x:c>
      <x:c r="J83" s="44" t="n">
        <x:v>71</x:v>
      </x:c>
      <x:c r="K83" s="44" t="str">
        <x:v>AM-E01, AM-E02, AM-E03, AM-E04, AM-E05, AM-E06, AM-E07, AM-E08, AM-E09, AM-E10, AM-E11, AM-E12, AM-E13, AM-E14, AM-E15, AM-E16, AM-L01, AM-L02, AM-L03, AM-L04, AM-L05, AM-L06, AM-L07, AM-L08, AM-L09, AM-N01, AM-N02, AM-N03, AM-N04, AM-N05, AM-N06, AM-N07, AM-N08, AM-N09, AM-N10, AM-N11, AM-N12, AM-N13, AM-N14, AM-N15, AM-N16, C01, H01, H02, H03, H08, H10, H11, H12, H13, H14, H15, O01, O03, O05, PR-E03, S01, S02, S03, S04, S06, S07, S08, Y02, Y03, Y04, Y05, Y06, Y07, Y10, Y12</x:v>
      </x:c>
      <x:c r="L83" s="44"/>
      <x:c r="M83" s="44" t="str">
        <x:v>Use only at the listed supplied-stock strength.</x:v>
      </x:c>
      <x:c r="N83" s="44" t="str">
        <x:v>Canonical coriander record.</x:v>
      </x:c>
    </x:row>
    <x:row r="84" ht="46" customHeight="1">
      <x:c r="A84" s="44" t="n">
        <x:v>65</x:v>
      </x:c>
      <x:c r="B84" s="44" t="str">
        <x:v>Costus Olifac 10%</x:v>
      </x:c>
      <x:c r="C84" s="44" t="str">
        <x:v>HAVE</x:v>
      </x:c>
      <x:c r="D84" s="44" t="str">
        <x:v>10% working dilution</x:v>
      </x:c>
      <x:c r="E84" s="44"/>
      <x:c r="F84" s="44" t="str">
        <x:v>Leather / smoke</x:v>
      </x:c>
      <x:c r="G84" s="44" t="str">
        <x:v>10% working dilution</x:v>
      </x:c>
      <x:c r="H84" s="46" t="n">
        <x:v>0.1</x:v>
      </x:c>
      <x:c r="I84" s="44" t="n">
        <x:v>27</x:v>
      </x:c>
      <x:c r="J84" s="44" t="n">
        <x:v>27</x:v>
      </x:c>
      <x:c r="K84" s="44" t="str">
        <x:v>AM-E01, AM-E02, AM-E03, AM-E04, AM-E05, AM-E06, AM-E07, AM-E08, AM-E11, AM-E13, AM-E14, AM-E15, AM-E16, AM-L03, AM-L04, AM-L05, AM-L06, AM-L07, AM-L08, AM-L09, AM-N01, AM-N03, AM-N05, AM-N07, AM-N08, AM-N09, AM-N13</x:v>
      </x:c>
      <x:c r="L84" s="44"/>
      <x:c r="M84" s="44" t="str">
        <x:v>Use only at the listed supplied-stock strength.</x:v>
      </x:c>
      <x:c r="N84" s="44" t="str">
        <x:v>Unchanged from prior register. Confirms item 65.</x:v>
      </x:c>
    </x:row>
    <x:row r="85" ht="46" customHeight="1">
      <x:c r="A85" s="44" t="n">
        <x:v>66</x:v>
      </x:c>
      <x:c r="B85" s="44" t="str">
        <x:v>Coumarin 20%</x:v>
      </x:c>
      <x:c r="C85" s="44" t="str">
        <x:v>HAVE</x:v>
      </x:c>
      <x:c r="D85" s="44" t="str">
        <x:v>20% in DPG</x:v>
      </x:c>
      <x:c r="E85" s="44"/>
      <x:c r="F85" s="44" t="str">
        <x:v>sweet_balsamic</x:v>
      </x:c>
      <x:c r="G85" s="44" t="str">
        <x:v>20% in DPG</x:v>
      </x:c>
      <x:c r="H85" s="46" t="n">
        <x:v>0.2</x:v>
      </x:c>
      <x:c r="I85" s="44" t="n">
        <x:v>98</x:v>
      </x:c>
      <x:c r="J85" s="44" t="n">
        <x:v>98</x:v>
      </x:c>
      <x:c r="K85" s="44" t="str">
        <x:v>AM-E01, AM-E02, AM-E03, AM-E04, AM-E05, AM-E06, AM-E07, AM-E08, AM-E09, AM-E10, AM-E11, AM-E12, AM-E13, AM-E14, AM-E15, AM-E16, AM-L02, AM-L03, AM-L04, AM-L05, AM-L06, AM-L07, AM-L08, AM-L09, AM-N01, AM-N02, AM-N03, AM-N04, AM-N05, AM-N06, AM-N07, AM-N08, AM-N09, AM-N10, AM-N11, AM-N12, AM-N13, AM-N14, AM-N15, AM-N16, C01, C02, C03, C04, C05, C06, C07, C08, H01, H04, H05, H06, H07, H08, H13, H14, H15, O01, O02, O03, O04, O05, PR-E01, PR-E02, PR-E03, PR-E04, PR-E05, PR-E06, PR-E07, PR-E08, PR-L01, PR-L02, PR-L04, PR-N01, PR-N02, PR-N05, PR-N06, PR-N07, PR-N08, PR-N12, S04, S05, S06, S08, Y01, Y02, Y03, Y04, Y05, Y06, Y07, Y08, Y09, Y10, Y11, Y12, Y13, Y14</x:v>
      </x:c>
      <x:c r="L85" s="44"/>
      <x:c r="M85" s="44" t="str">
        <x:v>Use only at the listed supplied-stock strength.</x:v>
      </x:c>
      <x:c r="N85" s="44" t="str">
        <x:v>Unchanged from prior register.</x:v>
      </x:c>
    </x:row>
    <x:row r="86" ht="46" customHeight="1">
      <x:c r="A86" s="44" t="n">
        <x:v>67</x:v>
      </x:c>
      <x:c r="B86" s="44" t="str">
        <x:v>Cumin EO 10%</x:v>
      </x:c>
      <x:c r="C86" s="44" t="str">
        <x:v>GAP</x:v>
      </x:c>
      <x:c r="D86" s="44"/>
      <x:c r="E86" s="44"/>
      <x:c r="F86" s="44" t="str">
        <x:v>Spice</x:v>
      </x:c>
      <x:c r="G86" s="44" t="str">
        <x:v>10% target-required working dilution</x:v>
      </x:c>
      <x:c r="H86" s="46" t="n">
        <x:v>0.1</x:v>
      </x:c>
      <x:c r="I86" s="44" t="n">
        <x:v>1</x:v>
      </x:c>
      <x:c r="J86" s="44" t="n">
        <x:v>1</x:v>
      </x:c>
      <x:c r="K86" s="44" t="str">
        <x:v>AM-N15</x:v>
      </x:c>
      <x:c r="L86" s="44"/>
      <x:c r="M86" s="44" t="str">
        <x:v>Do not substitute silently; target-required material is not in stock.</x:v>
      </x:c>
      <x:c r="N86" s="44" t="str">
        <x:v>No Cumin EO.</x:v>
      </x:c>
    </x:row>
    <x:row r="87" ht="46" customHeight="1">
      <x:c r="A87" s="44" t="n">
        <x:v>68</x:v>
      </x:c>
      <x:c r="B87" s="44" t="str">
        <x:v>Cyclamen Aldehyde 10%</x:v>
      </x:c>
      <x:c r="C87" s="44" t="str">
        <x:v>HAVE — NEAT + 10%</x:v>
      </x:c>
      <x:c r="D87" s="44" t="str">
        <x:v>Cyclamen Aldehyde neat/as supplied; 10% working stock (carrier not restated)</x:v>
      </x:c>
      <x:c r="E87" s="44"/>
      <x:c r="F87" s="44" t="str">
        <x:v>marine_green</x:v>
      </x:c>
      <x:c r="G87" s="44" t="str">
        <x:v>10% working stock</x:v>
      </x:c>
      <x:c r="H87" s="46" t="n">
        <x:v>0.1</x:v>
      </x:c>
      <x:c r="I87" s="44" t="n">
        <x:v>16</x:v>
      </x:c>
      <x:c r="J87" s="44" t="n">
        <x:v>16</x:v>
      </x:c>
      <x:c r="K87" s="44" t="str">
        <x:v>C03, C04, C06, C07, O03, PR-E03, PR-E06, PR-L02, PR-L05, PR-N01, PR-N03, S07, Y05, Y08, Y12, Y13</x:v>
      </x:c>
      <x:c r="L87" s="44"/>
      <x:c r="M87" s="44" t="str">
        <x:v>Every formula must specify exact stock strength.</x:v>
      </x:c>
      <x:c r="N87" s="44" t="str">
        <x:v>User confirmed ownership on 2026-08-07.</x:v>
      </x:c>
    </x:row>
    <x:row r="88" ht="46" customHeight="1">
      <x:c r="A88" s="44" t="n">
        <x:v>69</x:v>
      </x:c>
      <x:c r="B88" s="44" t="str">
        <x:v>Cypress EO</x:v>
      </x:c>
      <x:c r="C88" s="44" t="str">
        <x:v>HAVE — NEAT / LOT DETAIL OPEN</x:v>
      </x:c>
      <x:c r="D88" s="44" t="str">
        <x:v>Cypress EO neat/as supplied; supplier, botanical and lot details not yet recorded</x:v>
      </x:c>
      <x:c r="E88" s="44"/>
      <x:c r="F88" s="44" t="str">
        <x:v>Woods / amber</x:v>
      </x:c>
      <x:c r="G88" s="44" t="str">
        <x:v>target-required authentic material</x:v>
      </x:c>
      <x:c r="H88" s="46" t="n">
        <x:v>1</x:v>
      </x:c>
      <x:c r="I88" s="44" t="n">
        <x:v>3</x:v>
      </x:c>
      <x:c r="J88" s="44" t="n">
        <x:v>3</x:v>
      </x:c>
      <x:c r="K88" s="44" t="str">
        <x:v>AM-N10, C05, PR-E04</x:v>
      </x:c>
      <x:c r="L88" s="44"/>
      <x:c r="M88" s="44" t="str">
        <x:v>Ownership is resolved; lot-specific evidence remains open.</x:v>
      </x:c>
      <x:c r="N88" s="44" t="str">
        <x:v>User confirmed ownership on 2026-08-07.</x:v>
      </x:c>
    </x:row>
    <x:row r="89" ht="46" customHeight="1">
      <x:c r="A89" s="44" t="n">
        <x:v>70</x:v>
      </x:c>
      <x:c r="B89" s="44" t="str">
        <x:v>D-Limonene</x:v>
      </x:c>
      <x:c r="C89" s="44" t="str">
        <x:v>HAVE — NEAT</x:v>
      </x:c>
      <x:c r="D89" s="44" t="str">
        <x:v>D-Limonene neat/as supplied</x:v>
      </x:c>
      <x:c r="E89" s="44"/>
      <x:c r="F89" s="44" t="str">
        <x:v>Citrus top</x:v>
      </x:c>
      <x:c r="G89" s="44" t="str">
        <x:v>neat / as supplied</x:v>
      </x:c>
      <x:c r="H89" s="46" t="n">
        <x:v>1</x:v>
      </x:c>
      <x:c r="I89" s="44" t="n">
        <x:v>39</x:v>
      </x:c>
      <x:c r="J89" s="44" t="n">
        <x:v>39</x:v>
      </x:c>
      <x:c r="K89" s="44" t="str">
        <x:v>AM-E01, AM-E02, AM-E03, AM-E04, AM-E05, AM-E06, AM-E07, AM-E08, AM-E09, AM-E10, AM-E12, AM-E14, AM-E15, AM-E16, AM-L01, AM-L02, AM-L03, AM-L04, AM-L06, AM-L08, AM-L09, AM-N02, AM-N04, AM-N05, AM-N06, AM-N07, AM-N09, AM-N10, AM-N11, AM-N13, AM-N14, AM-N15, PR-E05, PR-N03, PR-N10, PR-N11, PR-N12, PR-N13, PR-N14</x:v>
      </x:c>
      <x:c r="L89" s="44"/>
      <x:c r="M89" s="44" t="str">
        <x:v>Use only at the listed supplied-stock strength.</x:v>
      </x:c>
      <x:c r="N89" s="44" t="str">
        <x:v>User confirmed ownership on 2026-08-07.</x:v>
      </x:c>
    </x:row>
    <x:row r="90" ht="46" customHeight="1">
      <x:c r="A90" s="44" t="n">
        <x:v>71</x:v>
      </x:c>
      <x:c r="B90" s="44" t="str">
        <x:v>Damascenone 1%</x:v>
      </x:c>
      <x:c r="C90" s="44" t="str">
        <x:v>HAVE</x:v>
      </x:c>
      <x:c r="D90" s="44" t="str">
        <x:v>1% working stock</x:v>
      </x:c>
      <x:c r="E90" s="44"/>
      <x:c r="F90" s="44" t="str">
        <x:v>orris_violet</x:v>
      </x:c>
      <x:c r="G90" s="44" t="str">
        <x:v>1% working stock</x:v>
      </x:c>
      <x:c r="H90" s="46" t="n">
        <x:v>0.01</x:v>
      </x:c>
      <x:c r="I90" s="44" t="n">
        <x:v>27</x:v>
      </x:c>
      <x:c r="J90" s="44" t="n">
        <x:v>27</x:v>
      </x:c>
      <x:c r="K90" s="44" t="str">
        <x:v>C01, C02, C03, C06, H10, H15, O03, O04, O05, PR-E02, PR-E04, S02, S04, S05, S06, S08, Y02, Y04, Y05, Y06, Y07, Y09, Y10, Y11, Y12, Y13, Y14</x:v>
      </x:c>
      <x:c r="L90" s="44"/>
      <x:c r="M90" s="44" t="str">
        <x:v>Use only at the listed supplied-stock strength.</x:v>
      </x:c>
      <x:c r="N90" s="44" t="str">
        <x:v>Unchanged from prior register.</x:v>
      </x:c>
    </x:row>
    <x:row r="91" ht="46" customHeight="1">
      <x:c r="A91" s="44" t="n">
        <x:v>72</x:v>
      </x:c>
      <x:c r="B91" s="44" t="str">
        <x:v>Davana EO 10%</x:v>
      </x:c>
      <x:c r="C91" s="44" t="str">
        <x:v>GAP</x:v>
      </x:c>
      <x:c r="D91" s="44"/>
      <x:c r="E91" s="44"/>
      <x:c r="F91" s="44" t="str">
        <x:v>Aromatic top</x:v>
      </x:c>
      <x:c r="G91" s="44" t="str">
        <x:v>10% target-required working dilution</x:v>
      </x:c>
      <x:c r="H91" s="46" t="n">
        <x:v>0.1</x:v>
      </x:c>
      <x:c r="I91" s="44" t="n">
        <x:v>1</x:v>
      </x:c>
      <x:c r="J91" s="44" t="n">
        <x:v>1</x:v>
      </x:c>
      <x:c r="K91" s="44" t="str">
        <x:v>AM-N15</x:v>
      </x:c>
      <x:c r="L91" s="44"/>
      <x:c r="M91" s="44" t="str">
        <x:v>Do not substitute silently; target-required material is not in stock.</x:v>
      </x:c>
      <x:c r="N91" s="44" t="str">
        <x:v>Unchanged from prior register.</x:v>
      </x:c>
    </x:row>
    <x:row r="92" ht="46" customHeight="1">
      <x:c r="A92" s="44" t="n">
        <x:v>73</x:v>
      </x:c>
      <x:c r="B92" s="44" t="str">
        <x:v>Dihydro Beta Ionone</x:v>
      </x:c>
      <x:c r="C92" s="44" t="str">
        <x:v>HAVE</x:v>
      </x:c>
      <x:c r="D92" s="44" t="str">
        <x:v>neat / as supplied</x:v>
      </x:c>
      <x:c r="E92" s="44"/>
      <x:c r="F92" s="44" t="str">
        <x:v>orris_violet</x:v>
      </x:c>
      <x:c r="G92" s="44" t="str">
        <x:v>neat / as supplied</x:v>
      </x:c>
      <x:c r="H92" s="46" t="n">
        <x:v>1</x:v>
      </x:c>
      <x:c r="I92" s="44" t="n">
        <x:v>19</x:v>
      </x:c>
      <x:c r="J92" s="44" t="n">
        <x:v>19</x:v>
      </x:c>
      <x:c r="K92" s="44" t="str">
        <x:v>H01, H02, H04, H05, H06, H07, H08, O01, O02, O03, O04, PR-E01, PR-E02, Y03, Y04, Y06, Y07, Y09, Y11</x:v>
      </x:c>
      <x:c r="L92" s="44"/>
      <x:c r="M92" s="44" t="str">
        <x:v>Use only at the listed supplied-stock strength.</x:v>
      </x:c>
      <x:c r="N92" s="44" t="str">
        <x:v>Unchanged from prior register.</x:v>
      </x:c>
    </x:row>
    <x:row r="93" ht="46" customHeight="1">
      <x:c r="A93" s="44" t="n">
        <x:v>74</x:v>
      </x:c>
      <x:c r="B93" s="44" t="str">
        <x:v>Dihydro Beta Ionone 10%</x:v>
      </x:c>
      <x:c r="C93" s="44" t="str">
        <x:v>HAVE — NEAT ONLY</x:v>
      </x:c>
      <x:c r="D93" s="44" t="str">
        <x:v>Dihydro Beta Ionone neat</x:v>
      </x:c>
      <x:c r="E93" s="44" t="str">
        <x:v>Prepare 10% if required.</x:v>
      </x:c>
      <x:c r="F93" s="44" t="str">
        <x:v>Iris / violet</x:v>
      </x:c>
      <x:c r="G93" s="44" t="str">
        <x:v>10% working stock</x:v>
      </x:c>
      <x:c r="H93" s="46" t="n">
        <x:v>0.1</x:v>
      </x:c>
      <x:c r="I93" s="44" t="n">
        <x:v>15</x:v>
      </x:c>
      <x:c r="J93" s="44" t="n">
        <x:v>15</x:v>
      </x:c>
      <x:c r="K93" s="44" t="str">
        <x:v>AM-E01, AM-E09, AM-E10, AM-L07, AM-N01, AM-N12, AM-N16, PR-L03, PR-L04, PR-L05, PR-N02, PR-N03, PR-N04, PR-N11, Y01</x:v>
      </x:c>
      <x:c r="L93" s="44"/>
      <x:c r="M93" s="44" t="str">
        <x:v>Do not dose as the listed 10% stock unless freshly prepared.</x:v>
      </x:c>
      <x:c r="N93" s="44" t="str">
        <x:v>Only neat stock is available.</x:v>
      </x:c>
    </x:row>
    <x:row r="94" ht="46" customHeight="1">
      <x:c r="A94" s="44"/>
      <x:c r="B94" s="44" t="str">
        <x:v>Dihydrojasmone</x:v>
      </x:c>
      <x:c r="C94" s="44" t="str">
        <x:v>HAVE</x:v>
      </x:c>
      <x:c r="D94" s="44" t="str">
        <x:v>as supplied</x:v>
      </x:c>
      <x:c r="E94" s="44"/>
      <x:c r="F94" s="44" t="str">
        <x:v>Jasmine / floral</x:v>
      </x:c>
      <x:c r="G94" s="44"/>
      <x:c r="H94" s="46"/>
      <x:c r="I94" s="44" t="n">
        <x:v>0</x:v>
      </x:c>
      <x:c r="J94" s="44" t="n">
        <x:v>0</x:v>
      </x:c>
      <x:c r="K94" s="44"/>
      <x:c r="L94" s="44"/>
      <x:c r="M94" s="44" t="str">
        <x:v>Use only with exact label/stock-strength accounting.</x:v>
      </x:c>
      <x:c r="N94" s="44" t="str">
        <x:v>Distinct from Jasmonyl.</x:v>
      </x:c>
    </x:row>
    <x:row r="95" ht="46" customHeight="1">
      <x:c r="A95" s="44" t="n">
        <x:v>75</x:v>
      </x:c>
      <x:c r="B95" s="44" t="str">
        <x:v>Dihydromyrcenol</x:v>
      </x:c>
      <x:c r="C95" s="44" t="str">
        <x:v>HAVE</x:v>
      </x:c>
      <x:c r="D95" s="44" t="str">
        <x:v>neat / as supplied</x:v>
      </x:c>
      <x:c r="E95" s="44"/>
      <x:c r="F95" s="44" t="str">
        <x:v>aromatic_top</x:v>
      </x:c>
      <x:c r="G95" s="44" t="str">
        <x:v>neat / as supplied</x:v>
      </x:c>
      <x:c r="H95" s="46" t="n">
        <x:v>1</x:v>
      </x:c>
      <x:c r="I95" s="44" t="n">
        <x:v>71</x:v>
      </x:c>
      <x:c r="J95" s="44" t="n">
        <x:v>71</x:v>
      </x:c>
      <x:c r="K95" s="44" t="str">
        <x:v>AM-E01, AM-E02, AM-E03, AM-E04, AM-E05, AM-E06, AM-E07, AM-E08, AM-E09, AM-E10, AM-E11, AM-E12, AM-E13, AM-E14, AM-E15, AM-E16, AM-L01, AM-L02, AM-L03, AM-L04, AM-L05, AM-L06, AM-L07, AM-L08, AM-L09, AM-N01, AM-N02, AM-N03, AM-N04, AM-N05, AM-N06, AM-N07, AM-N08, AM-N09, AM-N10, AM-N11, AM-N12, AM-N13, AM-N15, AM-N16, C03, C05, C06, H09, H11, H12, H14, H15, PR-E01, PR-E03, PR-E04, PR-E06, PR-E07, PR-E08, PR-L01, PR-L02, PR-L05, PR-N01, PR-N02, PR-N03, PR-N04, S01, S02, S03, S04, S05, S07, Y02, Y05, Y12, Y13</x:v>
      </x:c>
      <x:c r="L95" s="44"/>
      <x:c r="M95" s="44" t="str">
        <x:v>Use only at the listed supplied-stock strength.</x:v>
      </x:c>
      <x:c r="N95" s="44" t="str">
        <x:v>Unchanged from prior register.</x:v>
      </x:c>
    </x:row>
    <x:row r="96" ht="46" customHeight="1">
      <x:c r="A96" s="44" t="n">
        <x:v>114</x:v>
      </x:c>
      <x:c r="B96" s="44" t="str">
        <x:v>DO NOT USE — Iris FTEC</x:v>
      </x:c>
      <x:c r="C96" s="44" t="str">
        <x:v>BANNED / DELETE</x:v>
      </x:c>
      <x:c r="D96" s="44"/>
      <x:c r="E96" s="44"/>
      <x:c r="F96" s="44" t="str">
        <x:v>Iris / violet</x:v>
      </x:c>
      <x:c r="G96" s="44" t="str">
        <x:v>as supplied; product basis</x:v>
      </x:c>
      <x:c r="H96" s="46"/>
      <x:c r="I96" s="44" t="n">
        <x:v>4</x:v>
      </x:c>
      <x:c r="J96" s="44" t="n">
        <x:v>4</x:v>
      </x:c>
      <x:c r="K96" s="44" t="str">
        <x:v>PR-L04, PR-L05, PR-N04, Y11</x:v>
      </x:c>
      <x:c r="L96" s="44"/>
      <x:c r="M96" s="44" t="str">
        <x:v>Delete from all formulas. User rejects FTEC and Fleuressence materials because composition is undisclosed.</x:v>
      </x:c>
      <x:c r="N96" s="44" t="str">
        <x:v>Permanent ban on FTEC/Fleuressence materials.</x:v>
      </x:c>
    </x:row>
    <x:row r="97" ht="46" customHeight="1">
      <x:c r="A97" s="44" t="n">
        <x:v>147</x:v>
      </x:c>
      <x:c r="B97" s="44" t="str">
        <x:v>DO NOT USE — Molecule Iris</x:v>
      </x:c>
      <x:c r="C97" s="44" t="str">
        <x:v>BANNED / DELETE</x:v>
      </x:c>
      <x:c r="D97" s="44"/>
      <x:c r="E97" s="44"/>
      <x:c r="F97" s="44" t="str">
        <x:v>orris_violet</x:v>
      </x:c>
      <x:c r="G97" s="44" t="str">
        <x:v>as supplied</x:v>
      </x:c>
      <x:c r="H97" s="46" t="n">
        <x:v>1</x:v>
      </x:c>
      <x:c r="I97" s="44" t="n">
        <x:v>35</x:v>
      </x:c>
      <x:c r="J97" s="44" t="n">
        <x:v>35</x:v>
      </x:c>
      <x:c r="K97" s="44" t="str">
        <x:v>AM-E01, AM-E02, AM-E05, AM-E06, AM-E08, AM-E09, AM-E10, AM-L04, AM-L07, AM-L08, AM-L09, AM-N01, AM-N05, AM-N06, AM-N12, AM-N16, C01, C03, H01, H02, H04, H05, H06, H07, H08, O01, O02, O04, PR-E02, PR-N02, Y09, Y10, Y11, Y12, Y13</x:v>
      </x:c>
      <x:c r="L97" s="44"/>
      <x:c r="M97" s="44" t="str">
        <x:v>Remove forever from formulas and inventory recommendations.</x:v>
      </x:c>
      <x:c r="N97" s="44" t="str">
        <x:v>Permanent user ban.</x:v>
      </x:c>
    </x:row>
    <x:row r="98" ht="46" customHeight="1">
      <x:c r="A98" s="44" t="n">
        <x:v>76</x:v>
      </x:c>
      <x:c r="B98" s="44" t="str">
        <x:v>DPG</x:v>
      </x:c>
      <x:c r="C98" s="44" t="str">
        <x:v>HAVE</x:v>
      </x:c>
      <x:c r="D98" s="44" t="str">
        <x:v>neat</x:v>
      </x:c>
      <x:c r="E98" s="44"/>
      <x:c r="F98" s="44" t="str">
        <x:v>Technical</x:v>
      </x:c>
      <x:c r="G98" s="44" t="str">
        <x:v>neat</x:v>
      </x:c>
      <x:c r="H98" s="46" t="n">
        <x:v>0</x:v>
      </x:c>
      <x:c r="I98" s="44" t="n">
        <x:v>3</x:v>
      </x:c>
      <x:c r="J98" s="44" t="n">
        <x:v>3</x:v>
      </x:c>
      <x:c r="K98" s="44" t="str">
        <x:v>C07, C08, Y08</x:v>
      </x:c>
      <x:c r="L98" s="44"/>
      <x:c r="M98" s="44" t="str">
        <x:v>Use only at the listed supplied-stock strength.</x:v>
      </x:c>
      <x:c r="N98" s="44" t="str">
        <x:v>Unchanged from prior register.</x:v>
      </x:c>
    </x:row>
    <x:row r="99" ht="46" customHeight="1">
      <x:c r="A99" s="44" t="n">
        <x:v>77</x:v>
      </x:c>
      <x:c r="B99" s="44" t="str">
        <x:v>Ebanol</x:v>
      </x:c>
      <x:c r="C99" s="44" t="str">
        <x:v>HAVE</x:v>
      </x:c>
      <x:c r="D99" s="44" t="str">
        <x:v>neat/as supplied</x:v>
      </x:c>
      <x:c r="E99" s="44"/>
      <x:c r="F99" s="44" t="str">
        <x:v>Woods / amber</x:v>
      </x:c>
      <x:c r="G99" s="44" t="str">
        <x:v>neat</x:v>
      </x:c>
      <x:c r="H99" s="46" t="n">
        <x:v>1</x:v>
      </x:c>
      <x:c r="I99" s="44" t="n">
        <x:v>58</x:v>
      </x:c>
      <x:c r="J99" s="44" t="n">
        <x:v>58</x:v>
      </x:c>
      <x:c r="K99" s="44" t="str">
        <x:v>AM-E01, AM-E02, AM-E03, AM-E04, AM-E05, AM-E06, AM-E07, AM-E08, AM-E09, AM-E10, AM-E11, AM-E12, AM-E13, AM-E14, AM-E15, AM-E16, AM-L01, AM-L02, AM-L03, AM-L04, AM-L05, AM-L06, AM-L07, AM-L08, AM-L09, AM-N01, AM-N02, AM-N03, AM-N04, AM-N05, AM-N06, AM-N07, AM-N08, AM-N09, AM-N10, AM-N11, AM-N12, AM-N13, AM-N14, AM-N15, AM-N16, C01, C05, C07, C08, H06, H13, PR-E02, PR-L04, PR-L05, PR-N04, PR-N05, PR-N12, PR-N14, S05, S06, Y01, Y08</x:v>
      </x:c>
      <x:c r="L99" s="44"/>
      <x:c r="M99" s="44" t="str">
        <x:v>Use only at the listed supplied-stock strength.</x:v>
      </x:c>
      <x:c r="N99" s="44" t="str">
        <x:v>Unchanged from prior register. Confirms item 77.</x:v>
      </x:c>
    </x:row>
    <x:row r="100" ht="46" customHeight="1">
      <x:c r="A100" s="44" t="n">
        <x:v>78</x:v>
      </x:c>
      <x:c r="B100" s="44" t="str">
        <x:v>Elemi EO</x:v>
      </x:c>
      <x:c r="C100" s="44" t="str">
        <x:v>HAVE — NEAT / LOT DETAIL OPEN</x:v>
      </x:c>
      <x:c r="D100" s="44" t="str">
        <x:v>Elemi EO neat/as supplied; supplier, origin and lot not yet recorded</x:v>
      </x:c>
      <x:c r="E100" s="44"/>
      <x:c r="F100" s="44" t="str">
        <x:v>Resin / incense</x:v>
      </x:c>
      <x:c r="G100" s="44" t="str">
        <x:v>target-required authentic material</x:v>
      </x:c>
      <x:c r="H100" s="46" t="n">
        <x:v>1</x:v>
      </x:c>
      <x:c r="I100" s="44" t="n">
        <x:v>5</x:v>
      </x:c>
      <x:c r="J100" s="44" t="n">
        <x:v>5</x:v>
      </x:c>
      <x:c r="K100" s="44" t="str">
        <x:v>AM-N15, H11, H14, S02, S03</x:v>
      </x:c>
      <x:c r="L100" s="44"/>
      <x:c r="M100" s="44" t="str">
        <x:v>Use as neat Elemi EO; keep lot-specific behavior provisional until supplier and lot are logged.</x:v>
      </x:c>
      <x:c r="N100" s="44" t="str">
        <x:v>User confirmed ownership on 2026-08-07.</x:v>
      </x:c>
    </x:row>
    <x:row r="101" ht="46" customHeight="1">
      <x:c r="A101" s="44" t="n">
        <x:v>79</x:v>
      </x:c>
      <x:c r="B101" s="44" t="str">
        <x:v>Ethyl 2-Methylbutyrate 0.1%</x:v>
      </x:c>
      <x:c r="C101" s="44" t="str">
        <x:v>HAVE</x:v>
      </x:c>
      <x:c r="D101" s="44" t="str">
        <x:v>0.1% in DPG</x:v>
      </x:c>
      <x:c r="E101" s="44"/>
      <x:c r="F101" s="44" t="str">
        <x:v>Green / fruit</x:v>
      </x:c>
      <x:c r="G101" s="44" t="str">
        <x:v>0.1% in DPG</x:v>
      </x:c>
      <x:c r="H101" s="46" t="n">
        <x:v>0.001</x:v>
      </x:c>
      <x:c r="I101" s="44" t="n">
        <x:v>5</x:v>
      </x:c>
      <x:c r="J101" s="44" t="n">
        <x:v>5</x:v>
      </x:c>
      <x:c r="K101" s="44" t="str">
        <x:v>AM-E06, AM-L02, AM-N03, AM-N06, AM-N10</x:v>
      </x:c>
      <x:c r="L101" s="44"/>
      <x:c r="M101" s="44" t="str">
        <x:v>Use only at the listed supplied-stock strength.</x:v>
      </x:c>
      <x:c r="N101" s="44" t="str">
        <x:v>Unchanged from prior register.</x:v>
      </x:c>
    </x:row>
    <x:row r="102" ht="46" customHeight="1">
      <x:c r="A102" s="44"/>
      <x:c r="B102" s="44" t="str">
        <x:v>Ethyl Safranate 10%</x:v>
      </x:c>
      <x:c r="C102" s="44" t="str">
        <x:v>HAVE</x:v>
      </x:c>
      <x:c r="D102" s="44" t="str">
        <x:v>10% working stock</x:v>
      </x:c>
      <x:c r="E102" s="44"/>
      <x:c r="F102" s="44" t="str">
        <x:v>Spice / saffron</x:v>
      </x:c>
      <x:c r="G102" s="44"/>
      <x:c r="H102" s="46"/>
      <x:c r="I102" s="44" t="n">
        <x:v>0</x:v>
      </x:c>
      <x:c r="J102" s="44" t="n">
        <x:v>0</x:v>
      </x:c>
      <x:c r="K102" s="44"/>
      <x:c r="L102" s="44"/>
      <x:c r="M102" s="44" t="str">
        <x:v>Use only with exact label/stock-strength accounting.</x:v>
      </x:c>
      <x:c r="N102" s="44" t="str">
        <x:v>Exact stock available.</x:v>
      </x:c>
    </x:row>
    <x:row r="103" ht="46" customHeight="1">
      <x:c r="A103" s="44" t="n">
        <x:v>80</x:v>
      </x:c>
      <x:c r="B103" s="44" t="str">
        <x:v>Ethyl Vanillin 10%</x:v>
      </x:c>
      <x:c r="C103" s="44" t="str">
        <x:v>HAVE — NEAT + 10% IN DPG</x:v>
      </x:c>
      <x:c r="D103" s="44" t="str">
        <x:v>Ethyl Vanillin neat/as supplied; Ethyl Vanillin 10% in DPG</x:v>
      </x:c>
      <x:c r="E103" s="44"/>
      <x:c r="F103" s="44" t="str">
        <x:v>Sweet / balsamic</x:v>
      </x:c>
      <x:c r="G103" s="44" t="str">
        <x:v>10% in DPG</x:v>
      </x:c>
      <x:c r="H103" s="46" t="n">
        <x:v>0.1</x:v>
      </x:c>
      <x:c r="I103" s="44" t="n">
        <x:v>37</x:v>
      </x:c>
      <x:c r="J103" s="44" t="n">
        <x:v>37</x:v>
      </x:c>
      <x:c r="K103" s="44" t="str">
        <x:v>AM-E02, AM-E03, AM-E04, AM-E05, AM-E06, AM-E07, AM-E10, AM-E11, AM-E12, AM-E13, AM-E14, AM-E15, AM-L02, AM-L03, AM-L04, AM-L05, AM-L06, AM-L09, AM-N01, AM-N02, AM-N04, AM-N05, AM-N06, AM-N08, AM-N09, AM-N10, AM-N11, AM-N12, AM-N14, AM-N15, AM-N16, C08, PR-E02, PR-E04, PR-E06, PR-N06, PR-N13</x:v>
      </x:c>
      <x:c r="L103" s="44"/>
      <x:c r="M103" s="44" t="str">
        <x:v>Formula must specify neat versus 10% DPG.</x:v>
      </x:c>
      <x:c r="N103" s="44" t="str">
        <x:v>User confirmed ownership on 2026-08-07.</x:v>
      </x:c>
    </x:row>
    <x:row r="104" ht="46" customHeight="1">
      <x:c r="A104" s="44" t="n">
        <x:v>81</x:v>
      </x:c>
      <x:c r="B104" s="44" t="str">
        <x:v>Eugenol 10%</x:v>
      </x:c>
      <x:c r="C104" s="44" t="str">
        <x:v>HAVE</x:v>
      </x:c>
      <x:c r="D104" s="44" t="str">
        <x:v>10% in DPG</x:v>
      </x:c>
      <x:c r="E104" s="44"/>
      <x:c r="F104" s="44" t="str">
        <x:v>Spice</x:v>
      </x:c>
      <x:c r="G104" s="44" t="str">
        <x:v>10% in DPG</x:v>
      </x:c>
      <x:c r="H104" s="46" t="n">
        <x:v>0.1</x:v>
      </x:c>
      <x:c r="I104" s="44" t="n">
        <x:v>22</x:v>
      </x:c>
      <x:c r="J104" s="44" t="n">
        <x:v>22</x:v>
      </x:c>
      <x:c r="K104" s="44" t="str">
        <x:v>AM-E02, AM-E03, AM-E04, AM-E06, AM-E07, AM-E11, AM-E12, AM-E13, AM-E15, AM-L01, AM-L06, AM-L08, AM-N03, AM-N05, AM-N07, AM-N08, AM-N10, AM-N13, AM-N14, AM-N15, AM-N16, Y08</x:v>
      </x:c>
      <x:c r="L104" s="44"/>
      <x:c r="M104" s="44" t="str">
        <x:v>Use only at the listed supplied-stock strength.</x:v>
      </x:c>
      <x:c r="N104" s="44" t="str">
        <x:v>Unchanged from prior register.</x:v>
      </x:c>
    </x:row>
    <x:row r="105" ht="46" customHeight="1">
      <x:c r="A105" s="44" t="n">
        <x:v>82</x:v>
      </x:c>
      <x:c r="B105" s="44" t="str">
        <x:v>Evernyl 20%</x:v>
      </x:c>
      <x:c r="C105" s="44" t="str">
        <x:v>HAVE — NOMINAL 20% IN DPG / HETEROGENEOUS</x:v>
      </x:c>
      <x:c r="D105" s="44" t="str">
        <x:v>Evernyl nominal 20% in DPG; suspension/heterogeneous stock requiring mixing</x:v>
      </x:c>
      <x:c r="E105" s="44"/>
      <x:c r="F105" s="44" t="str">
        <x:v>Resin / incense</x:v>
      </x:c>
      <x:c r="G105" s="44" t="str">
        <x:v>20% in DPG; verify clarity</x:v>
      </x:c>
      <x:c r="H105" s="46" t="n">
        <x:v>0.2</x:v>
      </x:c>
      <x:c r="I105" s="44" t="n">
        <x:v>45</x:v>
      </x:c>
      <x:c r="J105" s="44" t="n">
        <x:v>45</x:v>
      </x:c>
      <x:c r="K105" s="44" t="str">
        <x:v>AM-E01, AM-E02, AM-E03, AM-E04, AM-E05, AM-E06, AM-E07, AM-E08, AM-E09, AM-E10, AM-E11, AM-E12, AM-E13, AM-E14, AM-E15, AM-E16, AM-L01, AM-L02, AM-L03, AM-L04, AM-L05, AM-L06, AM-L07, AM-L08, AM-L09, AM-N01, AM-N02, AM-N03, AM-N04, AM-N05, AM-N06, AM-N07, AM-N08, AM-N09, AM-N10, AM-N11, AM-N12, AM-N13, AM-N14, AM-N15, AM-N16, C07, C08, PR-E07, Y08</x:v>
      </x:c>
      <x:c r="L105" s="44"/>
      <x:c r="M105" s="44" t="str">
        <x:v>Shake or homogenize before every use; record as heterogeneous, not a clear solution.</x:v>
      </x:c>
      <x:c r="N105" s="44" t="str">
        <x:v>User confirmed ownership on 2026-08-07.</x:v>
      </x:c>
    </x:row>
    <x:row r="106" ht="46" customHeight="1">
      <x:c r="A106" s="44" t="n">
        <x:v>83</x:v>
      </x:c>
      <x:c r="B106" s="44" t="str">
        <x:v>Exaltolide 10%</x:v>
      </x:c>
      <x:c r="C106" s="44" t="str">
        <x:v>HAVE</x:v>
      </x:c>
      <x:c r="D106" s="44" t="str">
        <x:v>10% working stock</x:v>
      </x:c>
      <x:c r="E106" s="44"/>
      <x:c r="F106" s="44" t="str">
        <x:v>musk</x:v>
      </x:c>
      <x:c r="G106" s="44" t="str">
        <x:v>10% working stock</x:v>
      </x:c>
      <x:c r="H106" s="46" t="n">
        <x:v>0.1</x:v>
      </x:c>
      <x:c r="I106" s="44" t="n">
        <x:v>103</x:v>
      </x:c>
      <x:c r="J106" s="44" t="n">
        <x:v>103</x:v>
      </x:c>
      <x:c r="K106"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PR-E04, PR-L03, PR-L05, PR-N01, PR-N04, PR-N08, PR-N10, PR-N11, PR-N13, S01, S02, S03, S04, S05, S06, S07, S08, Y01, Y02, Y03, Y04, Y05, Y06, Y07, Y08, Y09, Y10, Y11, Y12, Y13, Y14</x:v>
      </x:c>
      <x:c r="L106" s="44"/>
      <x:c r="M106" s="44" t="str">
        <x:v>Use only at the listed supplied-stock strength.</x:v>
      </x:c>
      <x:c r="N106" s="44" t="str">
        <x:v>Unchanged from prior register.</x:v>
      </x:c>
    </x:row>
    <x:row r="107" ht="46" customHeight="1">
      <x:c r="A107" s="44"/>
      <x:c r="B107" s="44" t="str">
        <x:v>Exaltolide 10% in DPG</x:v>
      </x:c>
      <x:c r="C107" s="44" t="str">
        <x:v>HAVE</x:v>
      </x:c>
      <x:c r="D107" s="44" t="str">
        <x:v>10% in DPG</x:v>
      </x:c>
      <x:c r="E107" s="44"/>
      <x:c r="F107" s="44" t="str">
        <x:v>Musk</x:v>
      </x:c>
      <x:c r="G107" s="44"/>
      <x:c r="H107" s="46"/>
      <x:c r="I107" s="44" t="n">
        <x:v>0</x:v>
      </x:c>
      <x:c r="J107" s="44" t="n">
        <x:v>0</x:v>
      </x:c>
      <x:c r="K107" s="44"/>
      <x:c r="L107" s="44"/>
      <x:c r="M107" s="44" t="str">
        <x:v>Use only with exact label/stock-strength accounting.</x:v>
      </x:c>
      <x:c r="N107" s="44" t="str">
        <x:v>Confirms item 83.</x:v>
      </x:c>
    </x:row>
    <x:row r="108" ht="46" customHeight="1">
      <x:c r="A108" s="44" t="n">
        <x:v>84</x:v>
      </x:c>
      <x:c r="B108" s="44" t="str">
        <x:v>Farnesol</x:v>
      </x:c>
      <x:c r="C108" s="44" t="str">
        <x:v>HAVE — NEAT</x:v>
      </x:c>
      <x:c r="D108" s="44" t="str">
        <x:v>Farnesol neat/as supplied</x:v>
      </x:c>
      <x:c r="E108" s="44"/>
      <x:c r="F108" s="44" t="str">
        <x:v>air_floral</x:v>
      </x:c>
      <x:c r="G108" s="44" t="str">
        <x:v>neat / as supplied</x:v>
      </x:c>
      <x:c r="H108" s="46" t="n">
        <x:v>1</x:v>
      </x:c>
      <x:c r="I108" s="44" t="n">
        <x:v>34</x:v>
      </x:c>
      <x:c r="J108" s="44" t="n">
        <x:v>34</x:v>
      </x:c>
      <x:c r="K108" s="44" t="str">
        <x:v>C01, C02, C03, C04, C06, H01, H02, H03, H04, H05, H06, H07, H10, H11, H12, O01, O02, O03, O04, O05, O06, S07, Y02, Y03, Y04, Y05, Y06, Y07, Y09, Y10, Y11, Y12, Y13, Y14</x:v>
      </x:c>
      <x:c r="L108" s="44"/>
      <x:c r="M108" s="44" t="str">
        <x:v>Use only at the listed supplied-stock strength.</x:v>
      </x:c>
      <x:c r="N108" s="44" t="str">
        <x:v>User confirmed ownership on 2026-08-07.</x:v>
      </x:c>
    </x:row>
    <x:row r="109" ht="46" customHeight="1">
      <x:c r="A109" s="44" t="n">
        <x:v>85</x:v>
      </x:c>
      <x:c r="B109" s="44" t="str">
        <x:v>Fenugreek Accord 10%</x:v>
      </x:c>
      <x:c r="C109" s="44" t="str">
        <x:v>GAP</x:v>
      </x:c>
      <x:c r="D109" s="44"/>
      <x:c r="E109" s="44"/>
      <x:c r="F109" s="44" t="str">
        <x:v>Spice</x:v>
      </x:c>
      <x:c r="G109" s="44" t="str">
        <x:v>10% target-required accord</x:v>
      </x:c>
      <x:c r="H109" s="46" t="n">
        <x:v>0.1</x:v>
      </x:c>
      <x:c r="I109" s="44" t="n">
        <x:v>1</x:v>
      </x:c>
      <x:c r="J109" s="44" t="n">
        <x:v>1</x:v>
      </x:c>
      <x:c r="K109" s="44" t="str">
        <x:v>AM-N07</x:v>
      </x:c>
      <x:c r="L109" s="44"/>
      <x:c r="M109" s="44" t="str">
        <x:v>Do not substitute silently; target-required material is not in stock.</x:v>
      </x:c>
      <x:c r="N109" s="44" t="str">
        <x:v>Unchanged from prior register.</x:v>
      </x:c>
    </x:row>
    <x:row r="110" ht="46" customHeight="1">
      <x:c r="A110" s="44" t="n">
        <x:v>86</x:v>
      </x:c>
      <x:c r="B110" s="44" t="str">
        <x:v>Fir Balsam Absolute 10%</x:v>
      </x:c>
      <x:c r="C110" s="44" t="str">
        <x:v>GAP</x:v>
      </x:c>
      <x:c r="D110" s="44"/>
      <x:c r="E110" s="44"/>
      <x:c r="F110" s="44" t="str">
        <x:v>Resin / incense</x:v>
      </x:c>
      <x:c r="G110" s="44" t="str">
        <x:v>10% target-required working dilution</x:v>
      </x:c>
      <x:c r="H110" s="46" t="n">
        <x:v>0.1</x:v>
      </x:c>
      <x:c r="I110" s="44" t="n">
        <x:v>1</x:v>
      </x:c>
      <x:c r="J110" s="44" t="n">
        <x:v>1</x:v>
      </x:c>
      <x:c r="K110" s="44" t="str">
        <x:v>AM-N10</x:v>
      </x:c>
      <x:c r="L110" s="44"/>
      <x:c r="M110" s="44" t="str">
        <x:v>Do not substitute silently; target-required material is not in stock.</x:v>
      </x:c>
      <x:c r="N110" s="44" t="str">
        <x:v>Unchanged from prior register.</x:v>
      </x:c>
    </x:row>
    <x:row r="111" ht="46" customHeight="1">
      <x:c r="A111" s="44" t="n">
        <x:v>87</x:v>
      </x:c>
      <x:c r="B111" s="44" t="str">
        <x:v>Floralozone 10%</x:v>
      </x:c>
      <x:c r="C111" s="44" t="str">
        <x:v>HAVE</x:v>
      </x:c>
      <x:c r="D111" s="44" t="str">
        <x:v>10% working stock</x:v>
      </x:c>
      <x:c r="E111" s="44"/>
      <x:c r="F111" s="44" t="str">
        <x:v>marine_green</x:v>
      </x:c>
      <x:c r="G111" s="44" t="str">
        <x:v>10% working stock</x:v>
      </x:c>
      <x:c r="H111" s="46" t="n">
        <x:v>0.1</x:v>
      </x:c>
      <x:c r="I111" s="44" t="n">
        <x:v>10</x:v>
      </x:c>
      <x:c r="J111" s="44" t="n">
        <x:v>10</x:v>
      </x:c>
      <x:c r="K111" s="44" t="str">
        <x:v>AM-N06, C03, C04, PR-E01, PR-E06, PR-L02, PR-N03, PR-N08, S07, Y05</x:v>
      </x:c>
      <x:c r="L111" s="44"/>
      <x:c r="M111" s="44" t="str">
        <x:v>Use only at the listed supplied-stock strength.</x:v>
      </x:c>
      <x:c r="N111" s="44" t="str">
        <x:v>Unchanged from prior register.</x:v>
      </x:c>
    </x:row>
    <x:row r="112" ht="46" customHeight="1">
      <x:c r="A112" s="44" t="n">
        <x:v>88</x:v>
      </x:c>
      <x:c r="B112" s="44" t="str">
        <x:v>Florol</x:v>
      </x:c>
      <x:c r="C112" s="44" t="str">
        <x:v>HAVE</x:v>
      </x:c>
      <x:c r="D112" s="44" t="str">
        <x:v>neat / as supplied</x:v>
      </x:c>
      <x:c r="E112" s="44"/>
      <x:c r="F112" s="44" t="str">
        <x:v>air_floral</x:v>
      </x:c>
      <x:c r="G112" s="44" t="str">
        <x:v>neat / as supplied</x:v>
      </x:c>
      <x:c r="H112" s="46" t="n">
        <x:v>1</x:v>
      </x:c>
      <x:c r="I112" s="44" t="n">
        <x:v>80</x:v>
      </x:c>
      <x:c r="J112" s="44" t="n">
        <x:v>80</x:v>
      </x:c>
      <x:c r="K112" s="44" t="str">
        <x:v>AM-E01, AM-E02, AM-E03, AM-E04, AM-E05, AM-E06, AM-E07, AM-E08, AM-E09, AM-E10, AM-E11, AM-E12, AM-E13, AM-E14, AM-E15, AM-L01, AM-L02, AM-L03, AM-L04, AM-L05, AM-L06, AM-L07, AM-L08, AM-L09, AM-N01, AM-N02, AM-N03, AM-N04, AM-N05, AM-N06, AM-N07, AM-N08, AM-N09, AM-N11, AM-N12, AM-N13, AM-N14, AM-N15, AM-N16, C02, C03, C04, C05, C06, C08, H01, H02, H03, H04, H05, H06, H07, H09, H10, H11, H12, O01, O02, O03, O05, O06, PR-E01, PR-E02, PR-E03, PR-E04, PR-E06, PR-E07, PR-E08, PR-L03, PR-L05, PR-N01, PR-N02, PR-N03, PR-N04, S07, Y01, Y03, Y04, Y05, Y06</x:v>
      </x:c>
      <x:c r="L112" s="44"/>
      <x:c r="M112" s="44" t="str">
        <x:v>Use only at the listed supplied-stock strength.</x:v>
      </x:c>
      <x:c r="N112" s="44" t="str">
        <x:v>Unchanged from prior register.</x:v>
      </x:c>
    </x:row>
    <x:row r="113" ht="46" customHeight="1">
      <x:c r="A113" s="44" t="n">
        <x:v>90</x:v>
      </x:c>
      <x:c r="B113" s="44" t="str">
        <x:v>Galaxolide 50%</x:v>
      </x:c>
      <x:c r="C113" s="44" t="str">
        <x:v>HAVE</x:v>
      </x:c>
      <x:c r="D113" s="44" t="str">
        <x:v>50% in DEP</x:v>
      </x:c>
      <x:c r="E113" s="44"/>
      <x:c r="F113" s="44" t="str">
        <x:v>musk</x:v>
      </x:c>
      <x:c r="G113" s="44" t="str">
        <x:v>50% in DEP</x:v>
      </x:c>
      <x:c r="H113" s="46" t="n">
        <x:v>0.5</x:v>
      </x:c>
      <x:c r="I113" s="44" t="n">
        <x:v>102</x:v>
      </x:c>
      <x:c r="J113" s="44" t="n">
        <x:v>102</x:v>
      </x:c>
      <x:c r="K113"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PR-E03, PR-E04, PR-E09, PR-L02, PR-L05, PR-N01, PR-N03, PR-N08, S01, S02, S03, S04, S05, S06, S07, S08, Y01, Y02, Y03, Y04, Y05, Y06, Y07, Y08, Y09, Y10, Y11, Y12, Y13, Y14</x:v>
      </x:c>
      <x:c r="L113" s="44"/>
      <x:c r="M113" s="44" t="str">
        <x:v>Use only at the listed supplied-stock strength.</x:v>
      </x:c>
      <x:c r="N113" s="44" t="str">
        <x:v>Unchanged from prior register.</x:v>
      </x:c>
    </x:row>
    <x:row r="114" ht="46" customHeight="1">
      <x:c r="A114" s="44"/>
      <x:c r="B114" s="44" t="str">
        <x:v>Galbanum EO</x:v>
      </x:c>
      <x:c r="C114" s="44" t="str">
        <x:v>HAVE</x:v>
      </x:c>
      <x:c r="D114" s="44" t="str">
        <x:v>neat/as supplied</x:v>
      </x:c>
      <x:c r="E114" s="44"/>
      <x:c r="F114" s="44" t="str">
        <x:v>Green / resinous</x:v>
      </x:c>
      <x:c r="G114" s="44"/>
      <x:c r="H114" s="46"/>
      <x:c r="I114" s="44" t="n">
        <x:v>0</x:v>
      </x:c>
      <x:c r="J114" s="44" t="n">
        <x:v>0</x:v>
      </x:c>
      <x:c r="K114" s="44"/>
      <x:c r="L114" s="44"/>
      <x:c r="M114" s="44" t="str">
        <x:v>Use only with exact label/stock-strength accounting.</x:v>
      </x:c>
      <x:c r="N114" s="44" t="str">
        <x:v>Not Galbanum Resinoid.</x:v>
      </x:c>
    </x:row>
    <x:row r="115" ht="52" customHeight="1">
      <x:c r="A115" s="44" t="n">
        <x:v>91</x:v>
      </x:c>
      <x:c r="B115" s="44" t="str">
        <x:v>Galbanum Resinoid 10%</x:v>
      </x:c>
      <x:c r="C115" s="44" t="str">
        <x:v>GAP — GALBANUM EO AVAILABLE</x:v>
      </x:c>
      <x:c r="D115" s="44" t="str">
        <x:v>Galbanum EO neat is available as a separate material</x:v>
      </x:c>
      <x:c r="E115" s="44" t="str">
        <x:v>A 10% Galbanum EO dilution can be prepared.</x:v>
      </x:c>
      <x:c r="F115" s="44" t="str">
        <x:v>Green fruit</x:v>
      </x:c>
      <x:c r="G115" s="44" t="str">
        <x:v>10% target-required working dilution</x:v>
      </x:c>
      <x:c r="H115" s="46" t="n">
        <x:v>0.1</x:v>
      </x:c>
      <x:c r="I115" s="44" t="n">
        <x:v>1</x:v>
      </x:c>
      <x:c r="J115" s="44" t="n">
        <x:v>1</x:v>
      </x:c>
      <x:c r="K115" s="44" t="str">
        <x:v>AM-L05</x:v>
      </x:c>
      <x:c r="L115" s="44" t="str">
        <x:v>Galbanum EO is not Galbanum Resinoid.</x:v>
      </x:c>
      <x:c r="M115" s="44" t="str">
        <x:v>Keep the resinoid as a true gap. Use Galbanum EO only when the target requires a volatile green galbanum effect rather than the darker resinous extract.</x:v>
      </x:c>
      <x:c r="N115" s="44" t="str">
        <x:v>User owns neat Galbanum EO, not the resinoid.</x:v>
      </x:c>
    </x:row>
    <x:row r="116" ht="46" customHeight="1">
      <x:c r="A116" s="44" t="n">
        <x:v>92</x:v>
      </x:c>
      <x:c r="B116" s="44" t="str">
        <x:v>Gamma Undecalactone</x:v>
      </x:c>
      <x:c r="C116" s="44" t="str">
        <x:v>HAVE</x:v>
      </x:c>
      <x:c r="D116" s="44" t="str">
        <x:v>neat / as supplied</x:v>
      </x:c>
      <x:c r="E116" s="44"/>
      <x:c r="F116" s="44" t="str">
        <x:v>Green fruit</x:v>
      </x:c>
      <x:c r="G116" s="44" t="str">
        <x:v>neat / as supplied</x:v>
      </x:c>
      <x:c r="H116" s="46" t="n">
        <x:v>1</x:v>
      </x:c>
      <x:c r="I116" s="44" t="n">
        <x:v>15</x:v>
      </x:c>
      <x:c r="J116" s="44" t="n">
        <x:v>15</x:v>
      </x:c>
      <x:c r="K116" s="44" t="str">
        <x:v>AM-E01, AM-E02, AM-E05, AM-E06, AM-E12, AM-E13, AM-L02, AM-L04, AM-L08, AM-N03, AM-N06, AM-N09, AM-N10, AM-N13, PR-N14</x:v>
      </x:c>
      <x:c r="L116" s="44"/>
      <x:c r="M116" s="44" t="str">
        <x:v>Use only at the listed supplied-stock strength.</x:v>
      </x:c>
      <x:c r="N116" s="44" t="str">
        <x:v>Unchanged from prior register.</x:v>
      </x:c>
    </x:row>
    <x:row r="117" ht="46" customHeight="1">
      <x:c r="A117" s="44" t="n">
        <x:v>93</x:v>
      </x:c>
      <x:c r="B117" s="44" t="str">
        <x:v>Geosmin 0.1%</x:v>
      </x:c>
      <x:c r="C117" s="44" t="str">
        <x:v>HAVE — 0.1%</x:v>
      </x:c>
      <x:c r="D117" s="44" t="str">
        <x:v>Geosmin 0.1% working stock</x:v>
      </x:c>
      <x:c r="E117" s="44"/>
      <x:c r="F117" s="44" t="str">
        <x:v>Marine / green</x:v>
      </x:c>
      <x:c r="G117" s="44" t="str">
        <x:v>0.1% in TEC</x:v>
      </x:c>
      <x:c r="H117" s="46" t="n">
        <x:v>0.001</x:v>
      </x:c>
      <x:c r="I117" s="44" t="n">
        <x:v>3</x:v>
      </x:c>
      <x:c r="J117" s="44" t="n">
        <x:v>3</x:v>
      </x:c>
      <x:c r="K117" s="44" t="str">
        <x:v>C07, PR-E03, PR-N03</x:v>
      </x:c>
      <x:c r="L117" s="44"/>
      <x:c r="M117" s="44" t="str">
        <x:v>Use only at the listed supplied-stock strength.</x:v>
      </x:c>
      <x:c r="N117" s="44" t="str">
        <x:v>User confirmed ownership on 2026-08-07.</x:v>
      </x:c>
    </x:row>
    <x:row r="118" ht="46" customHeight="1">
      <x:c r="A118" s="44" t="n">
        <x:v>94</x:v>
      </x:c>
      <x:c r="B118" s="44" t="str">
        <x:v>Geosmin 1%</x:v>
      </x:c>
      <x:c r="C118" s="44" t="str">
        <x:v>HAVE</x:v>
      </x:c>
      <x:c r="D118" s="44" t="str">
        <x:v>1% in TEC</x:v>
      </x:c>
      <x:c r="E118" s="44"/>
      <x:c r="F118" s="44" t="str">
        <x:v>Earth / moss</x:v>
      </x:c>
      <x:c r="G118" s="44" t="str">
        <x:v>1% in TEC</x:v>
      </x:c>
      <x:c r="H118" s="46" t="n">
        <x:v>0.01</x:v>
      </x:c>
      <x:c r="I118" s="44" t="n">
        <x:v>38</x:v>
      </x:c>
      <x:c r="J118" s="44" t="n">
        <x:v>38</x:v>
      </x:c>
      <x:c r="K118" s="44" t="str">
        <x:v>AM-E01, AM-E02, AM-E03, AM-E04, AM-E05, AM-E06, AM-E07, AM-E08, AM-E09, AM-E10, AM-E12, AM-E13, AM-E14, AM-E15, AM-E16, AM-L01, AM-L02, AM-L04, AM-L05, AM-L06, AM-L07, AM-L09, AM-N01, AM-N02, AM-N03, AM-N04, AM-N05, AM-N06, AM-N07, AM-N08, AM-N09, AM-N10, AM-N11, AM-N12, AM-N13, AM-N14, AM-N15, AM-N16</x:v>
      </x:c>
      <x:c r="L118" s="44"/>
      <x:c r="M118" s="44" t="str">
        <x:v>Use only at the listed supplied-stock strength.</x:v>
      </x:c>
      <x:c r="N118" s="44" t="str">
        <x:v>Unchanged from prior register.</x:v>
      </x:c>
    </x:row>
    <x:row r="119" ht="46" customHeight="1">
      <x:c r="A119" s="44" t="n">
        <x:v>95</x:v>
      </x:c>
      <x:c r="B119" s="44" t="str">
        <x:v>Geraniol 10%</x:v>
      </x:c>
      <x:c r="C119" s="44" t="str">
        <x:v>HAVE — NEAT + 10%</x:v>
      </x:c>
      <x:c r="D119" s="44" t="str">
        <x:v>Geraniol neat/as supplied; Geraniol 10% working stock</x:v>
      </x:c>
      <x:c r="E119" s="44"/>
      <x:c r="F119" s="44" t="str">
        <x:v>air_floral</x:v>
      </x:c>
      <x:c r="G119" s="44" t="str">
        <x:v>10% working stock</x:v>
      </x:c>
      <x:c r="H119" s="46" t="n">
        <x:v>0.1</x:v>
      </x:c>
      <x:c r="I119" s="44" t="n">
        <x:v>30</x:v>
      </x:c>
      <x:c r="J119" s="44" t="n">
        <x:v>30</x:v>
      </x:c>
      <x:c r="K119" s="44" t="str">
        <x:v>AM-E01, AM-E04, AM-E05, AM-E09, AM-E11, AM-E14, AM-E15, AM-L01, AM-L04, AM-L08, AM-N04, AM-N05, AM-N06, AM-N15, C01, C02, H06, H13, H14, H15, PR-E01, PR-E03, PR-E09, PR-L04, PR-N06, S01, S02, S03, Y06, Y14</x:v>
      </x:c>
      <x:c r="L119" s="44"/>
      <x:c r="M119" s="44" t="str">
        <x:v>Formula must specify neat versus 10%.</x:v>
      </x:c>
      <x:c r="N119" s="44" t="str">
        <x:v>User confirmed ownership on 2026-08-07.</x:v>
      </x:c>
    </x:row>
    <x:row r="120" ht="46" customHeight="1">
      <x:c r="A120" s="44" t="n">
        <x:v>96</x:v>
      </x:c>
      <x:c r="B120" s="44" t="str">
        <x:v>Geranium EO</x:v>
      </x:c>
      <x:c r="C120" s="44" t="str">
        <x:v>HAVE</x:v>
      </x:c>
      <x:c r="D120" s="44" t="str">
        <x:v>neat / as supplied</x:v>
      </x:c>
      <x:c r="E120" s="44"/>
      <x:c r="F120" s="44" t="str">
        <x:v>Floral air</x:v>
      </x:c>
      <x:c r="G120" s="44" t="str">
        <x:v>neat / as supplied</x:v>
      </x:c>
      <x:c r="H120" s="46" t="n">
        <x:v>1</x:v>
      </x:c>
      <x:c r="I120" s="44" t="n">
        <x:v>22</x:v>
      </x:c>
      <x:c r="J120" s="44" t="n">
        <x:v>22</x:v>
      </x:c>
      <x:c r="K120" s="44" t="str">
        <x:v>AM-L01, AM-N15, C07, PR-E01, PR-E02, PR-E03, PR-E04, PR-E06, PR-E07, PR-E08, PR-E09, PR-L01, PR-L04, PR-N01, PR-N02, PR-N06, S01, S03, Y01, Y06, Y08, Y14</x:v>
      </x:c>
      <x:c r="L120" s="44"/>
      <x:c r="M120" s="44" t="str">
        <x:v>Use only at the listed supplied-stock strength.</x:v>
      </x:c>
      <x:c r="N120" s="44" t="str">
        <x:v>Unchanged from prior register.</x:v>
      </x:c>
    </x:row>
    <x:row r="121" ht="46" customHeight="1">
      <x:c r="A121" s="44" t="n">
        <x:v>89</x:v>
      </x:c>
      <x:c r="B121" s="44" t="str">
        <x:v>Ginger EO</x:v>
      </x:c>
      <x:c r="C121" s="44" t="str">
        <x:v>HAVE</x:v>
      </x:c>
      <x:c r="D121" s="44" t="str">
        <x:v>Ginger EO neat</x:v>
      </x:c>
      <x:c r="E121" s="44"/>
      <x:c r="F121" s="44" t="str">
        <x:v>Spice</x:v>
      </x:c>
      <x:c r="G121" s="44" t="str">
        <x:v>neat; verify current stock</x:v>
      </x:c>
      <x:c r="H121" s="46" t="n">
        <x:v>1</x:v>
      </x:c>
      <x:c r="I121" s="44" t="n">
        <x:v>6</x:v>
      </x:c>
      <x:c r="J121" s="44" t="n">
        <x:v>6</x:v>
      </x:c>
      <x:c r="K121" s="44" t="str">
        <x:v>PR-L02, PR-L05, PR-N02, PR-N04, PR-N12, Y01</x:v>
      </x:c>
      <x:c r="L121" s="44"/>
      <x:c r="M121" s="44" t="str">
        <x:v>Confirm bottle identity, strength, and solvent before use.</x:v>
      </x:c>
      <x:c r="N121" s="44" t="str">
        <x:v>Fresh Ginger Oil entry maps to the user's Ginger EO.</x:v>
      </x:c>
    </x:row>
    <x:row r="122" ht="46" customHeight="1">
      <x:c r="A122" s="44" t="n">
        <x:v>98</x:v>
      </x:c>
      <x:c r="B122" s="44" t="str">
        <x:v>Globanone 50%</x:v>
      </x:c>
      <x:c r="C122" s="44" t="str">
        <x:v>GAP</x:v>
      </x:c>
      <x:c r="D122" s="44"/>
      <x:c r="E122" s="44"/>
      <x:c r="F122" s="44" t="str">
        <x:v>Musk</x:v>
      </x:c>
      <x:c r="G122" s="44" t="str">
        <x:v>50% in DPG</x:v>
      </x:c>
      <x:c r="H122" s="46" t="n">
        <x:v>0.5</x:v>
      </x:c>
      <x:c r="I122" s="44" t="n">
        <x:v>49</x:v>
      </x:c>
      <x:c r="J122" s="44" t="n">
        <x:v>49</x:v>
      </x:c>
      <x:c r="K122" s="44" t="str">
        <x:v>AM-E01, AM-E02, AM-E03, AM-E04, AM-E05, AM-E06, AM-E07, AM-E08, AM-E09, AM-E10, AM-E11, AM-E12, AM-E13, AM-E14, AM-E15, AM-E16, AM-L01, AM-L02, AM-L03, AM-L04, AM-L05, AM-L06, AM-L07, AM-L08, AM-L09, AM-N01, AM-N02, AM-N03, AM-N04, AM-N05, AM-N06, AM-N07, AM-N08, AM-N09, AM-N10, AM-N11, AM-N12, AM-N13, AM-N14, AM-N15, AM-N16, C07, C08, PR-E06, PR-E07, PR-E09, PR-N06, Y01, Y08</x:v>
      </x:c>
      <x:c r="L122" s="44"/>
      <x:c r="M122" s="44" t="str">
        <x:v>Use only at the listed supplied-stock strength.</x:v>
      </x:c>
      <x:c r="N122" s="44" t="str">
        <x:v>No Globanone.</x:v>
      </x:c>
    </x:row>
    <x:row r="123" ht="46" customHeight="1">
      <x:c r="A123" s="44" t="n">
        <x:v>100</x:v>
      </x:c>
      <x:c r="B123" s="44" t="str">
        <x:v>Grapefruit FCF Oil Sicilian</x:v>
      </x:c>
      <x:c r="C123" s="44" t="str">
        <x:v>HAVE</x:v>
      </x:c>
      <x:c r="D123" s="44" t="str">
        <x:v>neat / as supplied</x:v>
      </x:c>
      <x:c r="E123" s="44"/>
      <x:c r="F123" s="44" t="str">
        <x:v>Citrus top</x:v>
      </x:c>
      <x:c r="G123" s="44" t="str">
        <x:v>neat / as supplied</x:v>
      </x:c>
      <x:c r="H123" s="46" t="n">
        <x:v>1</x:v>
      </x:c>
      <x:c r="I123" s="44" t="n">
        <x:v>46</x:v>
      </x:c>
      <x:c r="J123" s="44" t="n">
        <x:v>46</x:v>
      </x:c>
      <x:c r="K123" s="44" t="str">
        <x:v>AM-E01, AM-E02, AM-E03, AM-E04, AM-E05, AM-E06, AM-E07, AM-E08, AM-E09, AM-E10, AM-E12, AM-E13, AM-E14, AM-E15, AM-E16, AM-L01, AM-L02, AM-L03, AM-L04, AM-L06, AM-L07, AM-L08, AM-L09, AM-N02, AM-N03, AM-N04, AM-N05, AM-N06, AM-N07, AM-N09, AM-N10, AM-N11, AM-N12, AM-N13, AM-N14, AM-N15, AM-N16, H09, PR-E05, PR-E06, PR-N03, PR-N10, PR-N11, PR-N12, PR-N13, PR-N14</x:v>
      </x:c>
      <x:c r="L123" s="44"/>
      <x:c r="M123" s="44" t="str">
        <x:v>Use only at the listed supplied-stock strength.</x:v>
      </x:c>
      <x:c r="N123" s="44" t="str">
        <x:v>Unchanged from prior register.</x:v>
      </x:c>
    </x:row>
    <x:row r="124" ht="46" customHeight="1">
      <x:c r="A124" s="44" t="n">
        <x:v>101</x:v>
      </x:c>
      <x:c r="B124" s="44" t="str">
        <x:v>Guaiacol 10%</x:v>
      </x:c>
      <x:c r="C124" s="44" t="str">
        <x:v>HAVE — NEAT + 10%</x:v>
      </x:c>
      <x:c r="D124" s="44" t="str">
        <x:v>Guaiacol neat/as supplied; Guaiacol 10% working stock</x:v>
      </x:c>
      <x:c r="E124" s="44"/>
      <x:c r="F124" s="44" t="str">
        <x:v>leather</x:v>
      </x:c>
      <x:c r="G124" s="44" t="str">
        <x:v>10% working stock</x:v>
      </x:c>
      <x:c r="H124" s="46" t="n">
        <x:v>0.1</x:v>
      </x:c>
      <x:c r="I124" s="44" t="n">
        <x:v>54</x:v>
      </x:c>
      <x:c r="J124" s="44" t="n">
        <x:v>54</x:v>
      </x:c>
      <x:c r="K124" s="44" t="str">
        <x:v>AM-E01, AM-E02, AM-E03, AM-E04, AM-E05, AM-E06, AM-E07, AM-E08, AM-E09, AM-E11, AM-E13, AM-E14, AM-E15, AM-E16, AM-L02, AM-L03, AM-L04, AM-L05, AM-L06, AM-L07, AM-L08, AM-L09, AM-N01, AM-N02, AM-N03, AM-N05, AM-N07, AM-N08, AM-N09, AM-N11, AM-N12, AM-N13, AM-N15, C07, C08, H01, H04, H05, H07, H08, O04, PR-E02, PR-E04, PR-E07, PR-E08, PR-E09, PR-L01, PR-N05, PR-N06, PR-N07, PR-N09, PR-N13, PR-N14, S08</x:v>
      </x:c>
      <x:c r="L124" s="44"/>
      <x:c r="M124" s="44" t="str">
        <x:v>Formula must specify neat versus 10%.</x:v>
      </x:c>
      <x:c r="N124" s="44" t="str">
        <x:v>User confirmed ownership on 2026-08-07.</x:v>
      </x:c>
    </x:row>
    <x:row r="125" ht="46" customHeight="1">
      <x:c r="A125" s="44" t="n">
        <x:v>102</x:v>
      </x:c>
      <x:c r="B125" s="44" t="str">
        <x:v>Guaiacwood EO</x:v>
      </x:c>
      <x:c r="C125" s="44" t="str">
        <x:v>GAP</x:v>
      </x:c>
      <x:c r="D125" s="44"/>
      <x:c r="E125" s="44"/>
      <x:c r="F125" s="44" t="str">
        <x:v>Woods / amber</x:v>
      </x:c>
      <x:c r="G125" s="44" t="str">
        <x:v>target-required authentic material</x:v>
      </x:c>
      <x:c r="H125" s="46" t="n">
        <x:v>1</x:v>
      </x:c>
      <x:c r="I125" s="44" t="n">
        <x:v>15</x:v>
      </x:c>
      <x:c r="J125" s="44" t="n">
        <x:v>15</x:v>
      </x:c>
      <x:c r="K125" s="44" t="str">
        <x:v>AM-E01, AM-E03, AM-E04, AM-E05, AM-E06, AM-E07, AM-E13, AM-L09, AM-N01, AM-N07, AM-N08, AM-N09, AM-N15, PR-E09, PR-N06</x:v>
      </x:c>
      <x:c r="L125" s="44"/>
      <x:c r="M125" s="44" t="str">
        <x:v>Do not substitute silently; target-required material is not in stock.</x:v>
      </x:c>
      <x:c r="N125" s="44" t="str">
        <x:v>Unchanged from prior register.</x:v>
      </x:c>
    </x:row>
    <x:row r="126" ht="46" customHeight="1">
      <x:c r="A126" s="44" t="n">
        <x:v>103</x:v>
      </x:c>
      <x:c r="B126" s="44" t="str">
        <x:v>Habanolide</x:v>
      </x:c>
      <x:c r="C126" s="44" t="str">
        <x:v>HAVE — NEAT</x:v>
      </x:c>
      <x:c r="D126" s="44" t="str">
        <x:v>Habanolide neat/as supplied; CAS 111879-80-2</x:v>
      </x:c>
      <x:c r="E126" s="44"/>
      <x:c r="F126" s="44" t="str">
        <x:v>musk</x:v>
      </x:c>
      <x:c r="G126" s="44" t="str">
        <x:v>neat / verify label</x:v>
      </x:c>
      <x:c r="H126" s="46" t="n">
        <x:v>1</x:v>
      </x:c>
      <x:c r="I126" s="44" t="n">
        <x:v>119</x:v>
      </x:c>
      <x:c r="J126" s="44" t="n">
        <x:v>119</x:v>
      </x:c>
      <x:c r="K126"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PR-E03, PR-E04, PR-E05, PR-E06, PR-E07, PR-E08, PR-E09, PR-L01, PR-L02, PR-L03, PR-L04, PR-L05, PR-N01, PR-N02, PR-N03, PR-N04, PR-N06, PR-N07, PR-N08, PR-N09, PR-N10, PR-N11, PR-N12, PR-N13, PR-N14, S01, S02, S03, S04, S05, S06, S07, S08, Y01, Y02, Y03, Y04, Y05, Y06, Y07, Y08, Y09, Y10, Y11, Y12, Y13, Y14</x:v>
      </x:c>
      <x:c r="L126" s="44" t="str">
        <x:v>PerfumersWorld neat Habanolide product.</x:v>
      </x:c>
      <x:c r="M126" s="44" t="str">
        <x:v>Use as neat Habanolide; no dilution or solvent assumption.</x:v>
      </x:c>
      <x:c r="N126" s="44" t="str">
        <x:v>Identity resolved from PerfumersWorld product documentation.</x:v>
      </x:c>
    </x:row>
    <x:row r="127" ht="46" customHeight="1">
      <x:c r="A127" s="44" t="n">
        <x:v>104</x:v>
      </x:c>
      <x:c r="B127" s="44" t="str">
        <x:v>Hay Absolute 10%</x:v>
      </x:c>
      <x:c r="C127" s="44" t="str">
        <x:v>HAVE — 10%</x:v>
      </x:c>
      <x:c r="D127" s="44" t="str">
        <x:v>Hay Absolute 10% working stock; carrier not restated by user</x:v>
      </x:c>
      <x:c r="E127" s="44"/>
      <x:c r="F127" s="44" t="str">
        <x:v>Sweet balsamic</x:v>
      </x:c>
      <x:c r="G127" s="44" t="str">
        <x:v>10% target-required working dilution</x:v>
      </x:c>
      <x:c r="H127" s="46" t="n">
        <x:v>0.1</x:v>
      </x:c>
      <x:c r="I127" s="44" t="n">
        <x:v>1</x:v>
      </x:c>
      <x:c r="J127" s="44" t="n">
        <x:v>1</x:v>
      </x:c>
      <x:c r="K127" s="44" t="str">
        <x:v>C01</x:v>
      </x:c>
      <x:c r="L127" s="44"/>
      <x:c r="M127" s="44" t="str">
        <x:v>Retain the previously documented carrier if label evidence exists; otherwise keep carrier open.</x:v>
      </x:c>
      <x:c r="N127" s="44" t="str">
        <x:v>User confirmed ownership on 2026-08-07.</x:v>
      </x:c>
    </x:row>
    <x:row r="128" ht="52" customHeight="1">
      <x:c r="A128" s="44" t="n">
        <x:v>105</x:v>
      </x:c>
      <x:c r="B128" s="44" t="str">
        <x:v>Hazelnut Accord 10%</x:v>
      </x:c>
      <x:c r="C128" s="44" t="str">
        <x:v>CONSTRUCTIBLE ACCORD — NOT YET MIXED</x:v>
      </x:c>
      <x:c r="D128" s="44" t="str">
        <x:v>Hazelnut-Praline Accord v0.1 can be built from 2-Acetyl Pyrazine 1%, Cocoa Absolute 10%, Cocoa CO2 7.7%, Isobutavan, Vanillin, Tonka, Coumarin and supporting materials.</x:v>
      </x:c>
      <x:c r="E128" s="44" t="str">
        <x:v>Prepare from the Constructible Accords sheet.</x:v>
      </x:c>
      <x:c r="F128" s="44" t="str">
        <x:v>Sweet balsamic</x:v>
      </x:c>
      <x:c r="G128" s="44" t="str">
        <x:v>10% target-required accord</x:v>
      </x:c>
      <x:c r="H128" s="46" t="n">
        <x:v>0.1</x:v>
      </x:c>
      <x:c r="I128" s="44" t="n">
        <x:v>1</x:v>
      </x:c>
      <x:c r="J128" s="44" t="n">
        <x:v>1</x:v>
      </x:c>
      <x:c r="K128" s="44" t="str">
        <x:v>AM-N13</x:v>
      </x:c>
      <x:c r="L128" s="44" t="str">
        <x:v>2-Acetyl Pyrazine alone is not a hazelnut accord.</x:v>
      </x:c>
      <x:c r="M128" s="44" t="str">
        <x:v>Use only after standalone accord testing; label it as a functional reconstruction.</x:v>
      </x:c>
      <x:c r="N128" s="44" t="str">
        <x:v>User owns 2-AP and the supporting gourmand materials.</x:v>
      </x:c>
    </x:row>
    <x:row r="129" ht="46" customHeight="1">
      <x:c r="A129" s="44" t="n">
        <x:v>106</x:v>
      </x:c>
      <x:c r="B129" s="44" t="str">
        <x:v>Hedione</x:v>
      </x:c>
      <x:c r="C129" s="44" t="str">
        <x:v>HAVE</x:v>
      </x:c>
      <x:c r="D129" s="44" t="str">
        <x:v>neat / as supplied</x:v>
      </x:c>
      <x:c r="E129" s="44"/>
      <x:c r="F129" s="44" t="str">
        <x:v>air_floral</x:v>
      </x:c>
      <x:c r="G129" s="44" t="str">
        <x:v>neat / as supplied</x:v>
      </x:c>
      <x:c r="H129" s="46" t="n">
        <x:v>1</x:v>
      </x:c>
      <x:c r="I129" s="44" t="n">
        <x:v>104</x:v>
      </x:c>
      <x:c r="J129" s="44" t="n">
        <x:v>104</x:v>
      </x:c>
      <x:c r="K129" s="44" t="str">
        <x:v>AM-E01, AM-E02, AM-E03, AM-E04, AM-E05, AM-E06, AM-E07, AM-E08, AM-E09, AM-E10, AM-E11, AM-E12, AM-E13, AM-E14, AM-E15, AM-L01, AM-L02, AM-L03, AM-L04, AM-L05, AM-L06, AM-L07, AM-L08, AM-L09, AM-N01, AM-N02, AM-N03, AM-N04, AM-N05, AM-N06, AM-N07, AM-N08, AM-N09, AM-N11, AM-N12, AM-N13, AM-N15, AM-N16, C01, C02, C03, C05, C06, C07, C08, H01, H02, H03, H04, H05, H06, H07, H08, H09, H10, H11, H12, H13, H14, H15, O01, O02, O03, O05, O06, PR-E01, PR-E02, PR-E03, PR-E04, PR-E06, PR-E07, PR-E08, PR-E09, PR-L01, PR-L02, PR-L03, PR-L04, PR-L05, PR-N01, PR-N03, PR-N04, PR-N06, PR-N10, PR-N11, PR-N14, S01, S02, S03, S04, S05, S07, Y01, Y02, Y03, Y04, Y05, Y06, Y07, Y08, Y09, Y11, Y12, Y13, Y14</x:v>
      </x:c>
      <x:c r="L129" s="44"/>
      <x:c r="M129" s="44" t="str">
        <x:v>Use only at the listed supplied-stock strength.</x:v>
      </x:c>
      <x:c r="N129" s="44" t="str">
        <x:v>Unchanged from prior register.</x:v>
      </x:c>
    </x:row>
    <x:row r="130" ht="46" customHeight="1">
      <x:c r="A130" s="44" t="n">
        <x:v>107</x:v>
      </x:c>
      <x:c r="B130" s="44" t="str">
        <x:v>Helional 10%</x:v>
      </x:c>
      <x:c r="C130" s="44" t="str">
        <x:v>HAVE — NEAT + 10% V/V</x:v>
      </x:c>
      <x:c r="D130" s="44" t="str">
        <x:v>Helional neat/as supplied; Helional 10% v/v stock (carrier not stated)</x:v>
      </x:c>
      <x:c r="E130" s="44"/>
      <x:c r="F130" s="44" t="str">
        <x:v>marine_green</x:v>
      </x:c>
      <x:c r="G130" s="44" t="str">
        <x:v>10% working stock</x:v>
      </x:c>
      <x:c r="H130" s="46" t="n">
        <x:v>0.1</x:v>
      </x:c>
      <x:c r="I130" s="44" t="n">
        <x:v>27</x:v>
      </x:c>
      <x:c r="J130" s="44" t="n">
        <x:v>27</x:v>
      </x:c>
      <x:c r="K130" s="44" t="str">
        <x:v>AM-E03, AM-E04, AM-E08, AM-E09, AM-N06, C03, C04, C05, C06, C07, O03, PR-E06, PR-E07, PR-L02, PR-L05, PR-N01, PR-N03, PR-N04, PR-N08, S02, S07, Y05, Y07, Y08, Y12, Y13, Y14</x:v>
      </x:c>
      <x:c r="L130" s="44"/>
      <x:c r="M130" s="44" t="str">
        <x:v>Every formula must specify neat versus 10% v/v. Do not treat v/v as w/w without density data.</x:v>
      </x:c>
      <x:c r="N130" s="44" t="str">
        <x:v>Second user mention confirms the separate 10% v/v Helional stock.</x:v>
      </x:c>
    </x:row>
    <x:row r="131" ht="46" customHeight="1">
      <x:c r="A131" s="44" t="n">
        <x:v>108</x:v>
      </x:c>
      <x:c r="B131" s="44" t="str">
        <x:v>Heliotropal 10%</x:v>
      </x:c>
      <x:c r="C131" s="44" t="str">
        <x:v>HAVE — NEAT ONLY</x:v>
      </x:c>
      <x:c r="D131" s="44" t="str">
        <x:v>Heliotropal neat</x:v>
      </x:c>
      <x:c r="E131" s="44" t="str">
        <x:v>Prepare 10% if required.</x:v>
      </x:c>
      <x:c r="F131" s="44" t="str">
        <x:v>Iris / violet</x:v>
      </x:c>
      <x:c r="G131" s="44" t="str">
        <x:v>10% in DPG</x:v>
      </x:c>
      <x:c r="H131" s="46" t="n">
        <x:v>0.1</x:v>
      </x:c>
      <x:c r="I131" s="44" t="n">
        <x:v>15</x:v>
      </x:c>
      <x:c r="J131" s="44" t="n">
        <x:v>15</x:v>
      </x:c>
      <x:c r="K131" s="44" t="str">
        <x:v>H01, H02, H04, H05, H06, H07, H08, O01, O02, O04, PR-L04, PR-N02, Y01, Y09, Y11</x:v>
      </x:c>
      <x:c r="L131" s="44"/>
      <x:c r="M131" s="44" t="str">
        <x:v>Use only at the listed supplied-stock strength.</x:v>
      </x:c>
      <x:c r="N131" s="44" t="str">
        <x:v>Only neat stock is available.</x:v>
      </x:c>
    </x:row>
    <x:row r="132" ht="46" customHeight="1">
      <x:c r="A132" s="44" t="n">
        <x:v>109</x:v>
      </x:c>
      <x:c r="B132" s="44" t="str">
        <x:v>Hexyl Acetate 10%</x:v>
      </x:c>
      <x:c r="C132" s="44" t="str">
        <x:v>HAVE — NEAT + 10%</x:v>
      </x:c>
      <x:c r="D132" s="44" t="str">
        <x:v>Hexyl Acetate neat and 10% working dilution</x:v>
      </x:c>
      <x:c r="E132" s="44"/>
      <x:c r="F132" s="44" t="str">
        <x:v>green_fruit</x:v>
      </x:c>
      <x:c r="G132" s="44" t="str">
        <x:v>10% working stock</x:v>
      </x:c>
      <x:c r="H132" s="46" t="n">
        <x:v>0.1</x:v>
      </x:c>
      <x:c r="I132" s="44" t="n">
        <x:v>11</x:v>
      </x:c>
      <x:c r="J132" s="44" t="n">
        <x:v>11</x:v>
      </x:c>
      <x:c r="K132" s="44" t="str">
        <x:v>AM-E02, AM-E05, AM-E06, AM-L04, AM-N09, H05, H13, H15, Y02, Y10, Y13</x:v>
      </x:c>
      <x:c r="L132" s="44"/>
      <x:c r="M132" s="44" t="str">
        <x:v>Formula must specify exact strength.</x:v>
      </x:c>
      <x:c r="N132" s="44" t="str">
        <x:v>Both neat and 10% are available.</x:v>
      </x:c>
    </x:row>
    <x:row r="133" ht="46" customHeight="1">
      <x:c r="A133" s="44"/>
      <x:c r="B133" s="44" t="str">
        <x:v>Hexyl Salicylate</x:v>
      </x:c>
      <x:c r="C133" s="44" t="str">
        <x:v>HAVE — NEAT</x:v>
      </x:c>
      <x:c r="D133" s="44" t="str">
        <x:v>Hexyl Salicylate neat/as supplied</x:v>
      </x:c>
      <x:c r="E133" s="44"/>
      <x:c r="F133" s="44" t="str">
        <x:v>Floral / salicylate</x:v>
      </x:c>
      <x:c r="G133" s="44"/>
      <x:c r="H133" s="46"/>
      <x:c r="I133" s="44" t="n">
        <x:v>0</x:v>
      </x:c>
      <x:c r="J133" s="44" t="n">
        <x:v>0</x:v>
      </x:c>
      <x:c r="K133" s="44"/>
      <x:c r="L133" s="44"/>
      <x:c r="M133" s="44" t="str">
        <x:v>Use only with exact label/stock-strength accounting.</x:v>
      </x:c>
      <x:c r="N133" s="44" t="str">
        <x:v>User confirmed ownership on 2026-08-07.</x:v>
      </x:c>
    </x:row>
    <x:row r="134" ht="46" customHeight="1">
      <x:c r="A134" s="44" t="n">
        <x:v>110</x:v>
      </x:c>
      <x:c r="B134" s="44" t="str">
        <x:v>Honey Accord 10%</x:v>
      </x:c>
      <x:c r="C134" s="44" t="str">
        <x:v>GAP</x:v>
      </x:c>
      <x:c r="D134" s="44"/>
      <x:c r="E134" s="44"/>
      <x:c r="F134" s="44" t="str">
        <x:v>Sweet balsamic</x:v>
      </x:c>
      <x:c r="G134" s="44" t="str">
        <x:v>10% target-required accord</x:v>
      </x:c>
      <x:c r="H134" s="46" t="n">
        <x:v>0.1</x:v>
      </x:c>
      <x:c r="I134" s="44" t="n">
        <x:v>2</x:v>
      </x:c>
      <x:c r="J134" s="44" t="n">
        <x:v>2</x:v>
      </x:c>
      <x:c r="K134" s="44" t="str">
        <x:v>AM-E05, O06</x:v>
      </x:c>
      <x:c r="L134" s="44"/>
      <x:c r="M134" s="44" t="str">
        <x:v>Do not substitute silently; target-required material is not in stock.</x:v>
      </x:c>
      <x:c r="N134" s="44" t="str">
        <x:v>Unchanged from prior register.</x:v>
      </x:c>
    </x:row>
    <x:row r="135" ht="46" customHeight="1">
      <x:c r="A135" s="44" t="n">
        <x:v>111</x:v>
      </x:c>
      <x:c r="B135" s="44" t="str">
        <x:v>Hydroxycitronellal</x:v>
      </x:c>
      <x:c r="C135" s="44" t="str">
        <x:v>HAVE</x:v>
      </x:c>
      <x:c r="D135" s="44" t="str">
        <x:v>neat / as supplied</x:v>
      </x:c>
      <x:c r="E135" s="44"/>
      <x:c r="F135" s="44" t="str">
        <x:v>air_floral</x:v>
      </x:c>
      <x:c r="G135" s="44" t="str">
        <x:v>neat / as supplied</x:v>
      </x:c>
      <x:c r="H135" s="46" t="n">
        <x:v>1</x:v>
      </x:c>
      <x:c r="I135" s="44" t="n">
        <x:v>85</x:v>
      </x:c>
      <x:c r="J135" s="44" t="n">
        <x:v>85</x:v>
      </x:c>
      <x:c r="K135" s="44" t="str">
        <x:v>AM-E01, AM-E02, AM-E03, AM-E04, AM-E05, AM-E06, AM-E07, AM-E08, AM-E09, AM-E10, AM-E11, AM-E12, AM-E13, AM-E14, AM-E15, AM-L01, AM-L02, AM-L03, AM-L04, AM-L05, AM-L06, AM-L07, AM-L08, AM-L09, AM-N01, AM-N02, AM-N03, AM-N04, AM-N05, AM-N06, AM-N07, AM-N08, AM-N09, AM-N10, AM-N11, AM-N12, AM-N13, AM-N14, AM-N15, AM-N16, C02, C03, C04, C05, C06, C07, C08, H01, H02, H03, H04, H05, H06, H07, H08, H09, H10, H11, H12, O01, O02, O03, O05, O06, PR-E01, PR-E02, PR-E03, PR-E04, PR-E06, PR-E07, PR-E08, PR-L01, PR-L02, PR-L03, PR-L05, PR-N01, PR-N02, PR-N04, S07, Y01, Y03, Y04, Y05, Y06, Y08</x:v>
      </x:c>
      <x:c r="L135" s="44"/>
      <x:c r="M135" s="44" t="str">
        <x:v>Use only at the listed supplied-stock strength.</x:v>
      </x:c>
      <x:c r="N135" s="44" t="str">
        <x:v>Unchanged from prior register.</x:v>
      </x:c>
    </x:row>
    <x:row r="136" ht="46" customHeight="1">
      <x:c r="A136" s="44"/>
      <x:c r="B136" s="44" t="str">
        <x:v>IBQ 10%</x:v>
      </x:c>
      <x:c r="C136" s="44" t="str">
        <x:v>HAVE — 10%</x:v>
      </x:c>
      <x:c r="D136" s="44" t="str">
        <x:v>IBQ 10% working stock; carrier not restated</x:v>
      </x:c>
      <x:c r="E136" s="44"/>
      <x:c r="F136" s="44" t="str">
        <x:v>Leather / green</x:v>
      </x:c>
      <x:c r="G136" s="44"/>
      <x:c r="H136" s="46"/>
      <x:c r="I136" s="44" t="n">
        <x:v>0</x:v>
      </x:c>
      <x:c r="J136" s="44" t="n">
        <x:v>0</x:v>
      </x:c>
      <x:c r="K136" s="44"/>
      <x:c r="L136" s="44"/>
      <x:c r="M136" s="44" t="str">
        <x:v>Use only with exact label/stock-strength accounting.</x:v>
      </x:c>
      <x:c r="N136" s="44" t="str">
        <x:v>User confirmed ownership on 2026-08-07.</x:v>
      </x:c>
    </x:row>
    <x:row r="137" ht="46" customHeight="1">
      <x:c r="A137" s="44" t="n">
        <x:v>112</x:v>
      </x:c>
      <x:c r="B137" s="44" t="str">
        <x:v>Immortelle Absolute 10%</x:v>
      </x:c>
      <x:c r="C137" s="44" t="str">
        <x:v>HAVE</x:v>
      </x:c>
      <x:c r="D137" s="44" t="str">
        <x:v>10% working stock</x:v>
      </x:c>
      <x:c r="E137" s="44"/>
      <x:c r="F137" s="44" t="str">
        <x:v>sweet_balsamic</x:v>
      </x:c>
      <x:c r="G137" s="44" t="str">
        <x:v>10% working stock</x:v>
      </x:c>
      <x:c r="H137" s="46" t="n">
        <x:v>0.1</x:v>
      </x:c>
      <x:c r="I137" s="44" t="n">
        <x:v>22</x:v>
      </x:c>
      <x:c r="J137" s="44" t="n">
        <x:v>22</x:v>
      </x:c>
      <x:c r="K137" s="44" t="str">
        <x:v>AM-E02, AM-E03, AM-E04, AM-E05, AM-E07, AM-E08, AM-E15, AM-L02, AM-L06, AM-N05, AM-N08, AM-N11, H01, H04, H05, H07, H08, O06, PR-E02, PR-E04, S06, S08</x:v>
      </x:c>
      <x:c r="L137" s="44"/>
      <x:c r="M137" s="44" t="str">
        <x:v>Use only at the listed supplied-stock strength.</x:v>
      </x:c>
      <x:c r="N137" s="44" t="str">
        <x:v>Unchanged from prior register.</x:v>
      </x:c>
    </x:row>
    <x:row r="138" ht="46" customHeight="1">
      <x:c r="A138" s="44" t="n">
        <x:v>113</x:v>
      </x:c>
      <x:c r="B138" s="44" t="str">
        <x:v>Indole 10%</x:v>
      </x:c>
      <x:c r="C138" s="44" t="str">
        <x:v>HAVE</x:v>
      </x:c>
      <x:c r="D138" s="44" t="str">
        <x:v>10% working stock</x:v>
      </x:c>
      <x:c r="E138" s="44"/>
      <x:c r="F138" s="44" t="str">
        <x:v>air_floral</x:v>
      </x:c>
      <x:c r="G138" s="44" t="str">
        <x:v>10% working stock</x:v>
      </x:c>
      <x:c r="H138" s="46" t="n">
        <x:v>0.1</x:v>
      </x:c>
      <x:c r="I138" s="44" t="n">
        <x:v>37</x:v>
      </x:c>
      <x:c r="J138" s="44" t="n">
        <x:v>37</x:v>
      </x:c>
      <x:c r="K138" s="44" t="str">
        <x:v>AM-E01, AM-E09, AM-E10, AM-L08, AM-N06, AM-N12, C01, C03, C06, C07, H01, H02, H03, H04, H05, H06, H07, H10, H12, O03, O04, S04, S05, S06, S07, Y01, Y02, Y05, Y06, Y07, Y08, Y09, Y10, Y11, Y12, Y13, Y14</x:v>
      </x:c>
      <x:c r="L138" s="44"/>
      <x:c r="M138" s="44" t="str">
        <x:v>Use only at the listed supplied-stock strength.</x:v>
      </x:c>
      <x:c r="N138" s="44" t="str">
        <x:v>Unchanged from prior register.</x:v>
      </x:c>
    </x:row>
    <x:row r="139" ht="46" customHeight="1">
      <x:c r="A139" s="44" t="n">
        <x:v>115</x:v>
      </x:c>
      <x:c r="B139" s="44" t="str">
        <x:v>Irotyl</x:v>
      </x:c>
      <x:c r="C139" s="44" t="str">
        <x:v>HAVE — NEAT</x:v>
      </x:c>
      <x:c r="D139" s="44" t="str">
        <x:v>Irotyl neat</x:v>
      </x:c>
      <x:c r="E139" s="44"/>
      <x:c r="F139" s="44" t="str">
        <x:v>orris_violet</x:v>
      </x:c>
      <x:c r="G139" s="44" t="str">
        <x:v>as supplied; product basis</x:v>
      </x:c>
      <x:c r="H139" s="46"/>
      <x:c r="I139" s="44" t="n">
        <x:v>11</x:v>
      </x:c>
      <x:c r="J139" s="44" t="n">
        <x:v>11</x:v>
      </x:c>
      <x:c r="K139" s="44" t="str">
        <x:v>H01, H02, H04, H05, H06, H07, H08, O01, O02, O04, PR-E02</x:v>
      </x:c>
      <x:c r="L139" s="44"/>
      <x:c r="M139" s="44" t="str">
        <x:v>Use only at the listed supplied-stock strength.</x:v>
      </x:c>
      <x:c r="N139" s="44" t="str">
        <x:v>User confirms neat Irotyl.</x:v>
      </x:c>
    </x:row>
    <x:row r="140" ht="46" customHeight="1">
      <x:c r="A140" s="44" t="n">
        <x:v>116</x:v>
      </x:c>
      <x:c r="B140" s="44" t="str">
        <x:v>Iso E Super</x:v>
      </x:c>
      <x:c r="C140" s="44" t="str">
        <x:v>HAVE</x:v>
      </x:c>
      <x:c r="D140" s="44" t="str">
        <x:v>neat / as supplied</x:v>
      </x:c>
      <x:c r="E140" s="44"/>
      <x:c r="F140" s="44" t="str">
        <x:v>woods_amber</x:v>
      </x:c>
      <x:c r="G140" s="44" t="str">
        <x:v>neat / as supplied</x:v>
      </x:c>
      <x:c r="H140" s="46" t="n">
        <x:v>1</x:v>
      </x:c>
      <x:c r="I140" s="44" t="n">
        <x:v>118</x:v>
      </x:c>
      <x:c r="J140" s="44" t="n">
        <x:v>118</x:v>
      </x:c>
      <x:c r="K140"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PR-E03, PR-E04, PR-E05, PR-E06, PR-E07, PR-E08, PR-E09, PR-L01, PR-L02, PR-L03, PR-L04, PR-L05, PR-N01, PR-N02, PR-N03, PR-N04, PR-N05, PR-N06, PR-N07, PR-N08, PR-N09, PR-N10, PR-N12, PR-N13, S01, S02, S03, S04, S05, S06, S07, S08, Y01, Y02, Y03, Y04, Y05, Y06, Y07, Y08, Y09, Y10, Y11, Y12, Y13, Y14</x:v>
      </x:c>
      <x:c r="L140" s="44"/>
      <x:c r="M140" s="44" t="str">
        <x:v>Use only at the listed supplied-stock strength.</x:v>
      </x:c>
      <x:c r="N140" s="44" t="str">
        <x:v>Unchanged from prior register.</x:v>
      </x:c>
    </x:row>
    <x:row r="141" ht="46" customHeight="1">
      <x:c r="A141" s="44"/>
      <x:c r="B141" s="44" t="str">
        <x:v>Isobutavan</x:v>
      </x:c>
      <x:c r="C141" s="44" t="str">
        <x:v>HAVE — NEAT / AS SUPPLIED</x:v>
      </x:c>
      <x:c r="D141" s="44" t="str">
        <x:v>Isobutavan neat/as supplied</x:v>
      </x:c>
      <x:c r="E141" s="44"/>
      <x:c r="F141" s="44" t="str">
        <x:v>Gourmand / vanilla</x:v>
      </x:c>
      <x:c r="G141" s="44"/>
      <x:c r="H141" s="46"/>
      <x:c r="I141" s="44" t="n">
        <x:v>0</x:v>
      </x:c>
      <x:c r="J141" s="44" t="n">
        <x:v>0</x:v>
      </x:c>
      <x:c r="K141" s="44"/>
      <x:c r="L141" s="44"/>
      <x:c r="M141" s="44" t="str">
        <x:v>Use only with exact label/stock-strength accounting.</x:v>
      </x:c>
      <x:c r="N141" s="44" t="str">
        <x:v>User confirmed ownership on 2026-08-07.</x:v>
      </x:c>
    </x:row>
    <x:row r="142" ht="46" customHeight="1">
      <x:c r="A142" s="44" t="n">
        <x:v>117</x:v>
      </x:c>
      <x:c r="B142" s="44" t="str">
        <x:v>Isoeugenol 10%</x:v>
      </x:c>
      <x:c r="C142" s="44" t="str">
        <x:v>HAVE — NEAT / PREPARE</x:v>
      </x:c>
      <x:c r="D142" s="44" t="str">
        <x:v>Isoeugenol neat</x:v>
      </x:c>
      <x:c r="E142" s="44" t="str">
        <x:v>Prepare 10% in DPG only when needed.</x:v>
      </x:c>
      <x:c r="F142" s="44" t="str">
        <x:v>Spice</x:v>
      </x:c>
      <x:c r="G142" s="44" t="str">
        <x:v>10% working dilution</x:v>
      </x:c>
      <x:c r="H142" s="46" t="n">
        <x:v>0.1</x:v>
      </x:c>
      <x:c r="I142" s="44" t="n">
        <x:v>22</x:v>
      </x:c>
      <x:c r="J142" s="44" t="n">
        <x:v>22</x:v>
      </x:c>
      <x:c r="K142" s="44" t="str">
        <x:v>AM-E02, AM-E03, AM-E04, AM-E07, AM-E11, AM-E12, AM-E13, AM-L01, AM-L06, AM-L08, AM-N03, AM-N07, AM-N10, AM-N13, AM-N14, AM-N15, AM-N16, PR-N08, PR-N09, PR-N10, PR-N11, PR-N13</x:v>
      </x:c>
      <x:c r="L142" s="44"/>
      <x:c r="M142" s="44" t="str">
        <x:v>Use only at the listed supplied-stock strength.</x:v>
      </x:c>
      <x:c r="N142" s="44" t="str">
        <x:v>No need to keep a standing 10% stock.</x:v>
      </x:c>
    </x:row>
    <x:row r="143" ht="46" customHeight="1">
      <x:c r="A143" s="44" t="n">
        <x:v>118</x:v>
      </x:c>
      <x:c r="B143" s="44" t="str">
        <x:v>Ivy Green Accord 10%</x:v>
      </x:c>
      <x:c r="C143" s="44" t="str">
        <x:v>GAP</x:v>
      </x:c>
      <x:c r="D143" s="44"/>
      <x:c r="E143" s="44"/>
      <x:c r="F143" s="44" t="str">
        <x:v>Green fruit</x:v>
      </x:c>
      <x:c r="G143" s="44" t="str">
        <x:v>10% target-required accord</x:v>
      </x:c>
      <x:c r="H143" s="46" t="n">
        <x:v>0.1</x:v>
      </x:c>
      <x:c r="I143" s="44" t="n">
        <x:v>1</x:v>
      </x:c>
      <x:c r="J143" s="44" t="n">
        <x:v>1</x:v>
      </x:c>
      <x:c r="K143" s="44" t="str">
        <x:v>AM-L05</x:v>
      </x:c>
      <x:c r="L143" s="44"/>
      <x:c r="M143" s="44" t="str">
        <x:v>Do not substitute silently; target-required material is not in stock.</x:v>
      </x:c>
      <x:c r="N143" s="44" t="str">
        <x:v>Unchanged from prior register.</x:v>
      </x:c>
    </x:row>
    <x:row r="144" ht="46" customHeight="1">
      <x:c r="A144" s="44" t="n">
        <x:v>119</x:v>
      </x:c>
      <x:c r="B144" s="44" t="str">
        <x:v>Jasmine Absolute 10%</x:v>
      </x:c>
      <x:c r="C144" s="44" t="str">
        <x:v>HAVE</x:v>
      </x:c>
      <x:c r="D144" s="44" t="str">
        <x:v>10% working stock</x:v>
      </x:c>
      <x:c r="E144" s="44"/>
      <x:c r="F144" s="44" t="str">
        <x:v>air_floral</x:v>
      </x:c>
      <x:c r="G144" s="44" t="str">
        <x:v>10% working stock</x:v>
      </x:c>
      <x:c r="H144" s="46" t="n">
        <x:v>0.1</x:v>
      </x:c>
      <x:c r="I144" s="44" t="n">
        <x:v>32</x:v>
      </x:c>
      <x:c r="J144" s="44" t="n">
        <x:v>32</x:v>
      </x:c>
      <x:c r="K144" s="44" t="str">
        <x:v>C01, C02, C03, C06, H01, H02, H03, H04, H05, H06, H07, H10, H11, H12, O01, O02, O03, O04, O05, S07, Y02, Y03, Y04, Y05, Y06, Y07, Y09, Y10, Y11, Y12, Y13, Y14</x:v>
      </x:c>
      <x:c r="L144" s="44"/>
      <x:c r="M144" s="44" t="str">
        <x:v>Use only at the listed supplied-stock strength.</x:v>
      </x:c>
      <x:c r="N144" s="44" t="str">
        <x:v>Unchanged from prior register.</x:v>
      </x:c>
    </x:row>
    <x:row r="145" ht="46" customHeight="1">
      <x:c r="A145" s="44"/>
      <x:c r="B145" s="44" t="str">
        <x:v>Jasmine Absolute 10% in DPG</x:v>
      </x:c>
      <x:c r="C145" s="44" t="str">
        <x:v>HAVE</x:v>
      </x:c>
      <x:c r="D145" s="44" t="str">
        <x:v>10% in DPG</x:v>
      </x:c>
      <x:c r="E145" s="44"/>
      <x:c r="F145" s="44" t="str">
        <x:v>White floral</x:v>
      </x:c>
      <x:c r="G145" s="44"/>
      <x:c r="H145" s="46"/>
      <x:c r="I145" s="44" t="n">
        <x:v>0</x:v>
      </x:c>
      <x:c r="J145" s="44" t="n">
        <x:v>0</x:v>
      </x:c>
      <x:c r="K145" s="44"/>
      <x:c r="L145" s="44"/>
      <x:c r="M145" s="44" t="str">
        <x:v>Use only with exact label/stock-strength accounting.</x:v>
      </x:c>
      <x:c r="N145" s="44" t="str">
        <x:v>Canonical stock; item 120 duplicate removed.</x:v>
      </x:c>
    </x:row>
    <x:row r="146" ht="46" customHeight="1">
      <x:c r="A146" s="44" t="n">
        <x:v>121</x:v>
      </x:c>
      <x:c r="B146" s="44" t="str">
        <x:v>Jasmine Sambac Absolute 10%</x:v>
      </x:c>
      <x:c r="C146" s="44" t="str">
        <x:v>HAVE</x:v>
      </x:c>
      <x:c r="D146" s="44" t="str">
        <x:v>10% working stock</x:v>
      </x:c>
      <x:c r="E146" s="44"/>
      <x:c r="F146" s="44" t="str">
        <x:v>air_floral</x:v>
      </x:c>
      <x:c r="G146" s="44" t="str">
        <x:v>10% working stock</x:v>
      </x:c>
      <x:c r="H146" s="46" t="n">
        <x:v>0.1</x:v>
      </x:c>
      <x:c r="I146" s="44" t="n">
        <x:v>35</x:v>
      </x:c>
      <x:c r="J146" s="44" t="n">
        <x:v>35</x:v>
      </x:c>
      <x:c r="K146" s="44" t="str">
        <x:v>C01, C02, C03, C06, C07, H01, H02, H03, H04, H05, H06, H07, H10, H11, H12, O01, O02, O03, O04, O05, O06, S07, Y01, Y02, Y03, Y04, Y06, Y07, Y08, Y09, Y10, Y11, Y12, Y13, Y14</x:v>
      </x:c>
      <x:c r="L146" s="44"/>
      <x:c r="M146" s="44" t="str">
        <x:v>Use only at the listed supplied-stock strength.</x:v>
      </x:c>
      <x:c r="N146" s="44" t="str">
        <x:v>Unchanged from prior register.</x:v>
      </x:c>
    </x:row>
    <x:row r="147" ht="46" customHeight="1">
      <x:c r="A147" s="44"/>
      <x:c r="B147" s="44" t="str">
        <x:v>Jasmine Sambac Absolute 10% in DPG</x:v>
      </x:c>
      <x:c r="C147" s="44" t="str">
        <x:v>HAVE</x:v>
      </x:c>
      <x:c r="D147" s="44" t="str">
        <x:v>10% in DPG</x:v>
      </x:c>
      <x:c r="E147" s="44"/>
      <x:c r="F147" s="44" t="str">
        <x:v>White floral</x:v>
      </x:c>
      <x:c r="G147" s="44"/>
      <x:c r="H147" s="46"/>
      <x:c r="I147" s="44" t="n">
        <x:v>0</x:v>
      </x:c>
      <x:c r="J147" s="44" t="n">
        <x:v>0</x:v>
      </x:c>
      <x:c r="K147" s="44"/>
      <x:c r="L147" s="44"/>
      <x:c r="M147" s="44" t="str">
        <x:v>Use only with exact label/stock-strength accounting.</x:v>
      </x:c>
      <x:c r="N147" s="44" t="str">
        <x:v>Confirms item 121.</x:v>
      </x:c>
    </x:row>
    <x:row r="148" ht="46" customHeight="1">
      <x:c r="A148" s="44" t="n">
        <x:v>122</x:v>
      </x:c>
      <x:c r="B148" s="44" t="str">
        <x:v>Jasmonyl</x:v>
      </x:c>
      <x:c r="C148" s="44" t="str">
        <x:v>GAP — DISTINCT MATERIAL</x:v>
      </x:c>
      <x:c r="D148" s="44"/>
      <x:c r="E148" s="44"/>
      <x:c r="F148" s="44" t="str">
        <x:v>Floral air</x:v>
      </x:c>
      <x:c r="G148" s="44" t="str">
        <x:v>as supplied</x:v>
      </x:c>
      <x:c r="H148" s="46" t="n">
        <x:v>1</x:v>
      </x:c>
      <x:c r="I148" s="44" t="n">
        <x:v>38</x:v>
      </x:c>
      <x:c r="J148" s="44" t="n">
        <x:v>38</x:v>
      </x:c>
      <x:c r="K148" s="44" t="str">
        <x:v>AM-E01, AM-E02, AM-E03, AM-E04, AM-E05, AM-E06, AM-E07, AM-E08, AM-E09, AM-E10, AM-E13, AM-E14, AM-E15, AM-L01, AM-L02, AM-L03, AM-L04, AM-L06, AM-L08, AM-L09, AM-N01, AM-N02, AM-N04, AM-N05, AM-N06, AM-N07, AM-N08, AM-N09, AM-N11, AM-N12, AM-N13, AM-N15, AM-N16, C07, PR-E01, PR-L03, PR-L05, PR-N04</x:v>
      </x:c>
      <x:c r="L148" s="44" t="str">
        <x:v>Jasmonyl is a distinct lactonic jasmine/mushroom material; Jessemal, cis-Jasmone, dihydrojasmone and ACA are not the same.</x:v>
      </x:c>
      <x:c r="M148" s="44" t="str">
        <x:v>Do not substitute by name similarity. Require exact Jasmonyl/Jasmonyl LG label or a separately designed accord.</x:v>
      </x:c>
      <x:c r="N148" s="44" t="str">
        <x:v>User does not report owning Jasmonyl and asked what it is.</x:v>
      </x:c>
    </x:row>
    <x:row r="149" ht="46" customHeight="1">
      <x:c r="A149" s="44" t="n">
        <x:v>123</x:v>
      </x:c>
      <x:c r="B149" s="44" t="str">
        <x:v>Javanol</x:v>
      </x:c>
      <x:c r="C149" s="44" t="str">
        <x:v>DO NOT USE — NEAT STOCK NOT CONFIRMED</x:v>
      </x:c>
      <x:c r="D149" s="44"/>
      <x:c r="E149" s="44"/>
      <x:c r="F149" s="44" t="str">
        <x:v>Woods / amber</x:v>
      </x:c>
      <x:c r="G149" s="44" t="str">
        <x:v>neat / as supplied</x:v>
      </x:c>
      <x:c r="H149" s="46" t="n">
        <x:v>1</x:v>
      </x:c>
      <x:c r="I149" s="44" t="n">
        <x:v>53</x:v>
      </x:c>
      <x:c r="J149" s="44" t="n">
        <x:v>53</x:v>
      </x:c>
      <x:c r="K149" s="44" t="str">
        <x:v>AM-E01, AM-E02, AM-E03, AM-E04, AM-E06, AM-E07, AM-E08, AM-E09, AM-E10, AM-E11, AM-E12, AM-E13, AM-E14, AM-E15, AM-E16, AM-L01, AM-L02, AM-L03, AM-L04, AM-L05, AM-L06, AM-L07, AM-L08, AM-L09, AM-N01, AM-N02, AM-N03, AM-N04, AM-N05, AM-N06, AM-N07, AM-N08, AM-N09, AM-N10, AM-N11, AM-N12, AM-N13, AM-N14, AM-N15, AM-N16, C01, C05, C07, C08, H06, H13, PR-E02, PR-L05, PR-N04, PR-N12, PR-N14, S05, S06</x:v>
      </x:c>
      <x:c r="L149" s="44" t="str">
        <x:v>Use the separately listed Javanol 20% in DPG stock.</x:v>
      </x:c>
      <x:c r="M149" s="44" t="str">
        <x:v>Recalculate all prior neat-Javanol formula rows to the confirmed 20% DPG stock or keep them on hold.</x:v>
      </x:c>
      <x:c r="N149" s="44" t="str">
        <x:v>No further clarification requested; conservative inventory policy applied.</x:v>
      </x:c>
    </x:row>
    <x:row r="150" ht="46" customHeight="1">
      <x:c r="A150" s="44"/>
      <x:c r="B150" s="44" t="str">
        <x:v>Javanol 20% in DPG</x:v>
      </x:c>
      <x:c r="C150" s="44" t="str">
        <x:v>HAVE — 20% IN DPG</x:v>
      </x:c>
      <x:c r="D150" s="44" t="str">
        <x:v>Javanol 20% in DPG</x:v>
      </x:c>
      <x:c r="E150" s="44"/>
      <x:c r="F150" s="44" t="str">
        <x:v>Sandalwood / woods</x:v>
      </x:c>
      <x:c r="G150" s="44"/>
      <x:c r="H150" s="46" t="n">
        <x:v>0.2</x:v>
      </x:c>
      <x:c r="I150" s="44" t="n">
        <x:v>0</x:v>
      </x:c>
      <x:c r="J150" s="44" t="n">
        <x:v>0</x:v>
      </x:c>
      <x:c r="K150" s="44"/>
      <x:c r="L150" s="44" t="str">
        <x:v>Canonical executable Javanol stock.</x:v>
      </x:c>
      <x:c r="M150" s="44" t="str">
        <x:v>Use the exact 20% in DPG stock.</x:v>
      </x:c>
      <x:c r="N150" s="44" t="str">
        <x:v>Confirmed user addition; no neat-stock assumption.</x:v>
      </x:c>
    </x:row>
    <x:row r="151" ht="46" customHeight="1">
      <x:c r="A151" s="44" t="n">
        <x:v>124</x:v>
      </x:c>
      <x:c r="B151" s="44" t="str">
        <x:v>Jessemal</x:v>
      </x:c>
      <x:c r="C151" s="44" t="str">
        <x:v>HAVE</x:v>
      </x:c>
      <x:c r="D151" s="44" t="str">
        <x:v>as supplied</x:v>
      </x:c>
      <x:c r="E151" s="44"/>
      <x:c r="F151" s="44" t="str">
        <x:v>Floral air</x:v>
      </x:c>
      <x:c r="G151" s="44" t="str">
        <x:v>as supplied</x:v>
      </x:c>
      <x:c r="H151" s="46" t="n">
        <x:v>1</x:v>
      </x:c>
      <x:c r="I151" s="44" t="n">
        <x:v>32</x:v>
      </x:c>
      <x:c r="J151" s="44" t="n">
        <x:v>32</x:v>
      </x:c>
      <x:c r="K151" s="44" t="str">
        <x:v>AM-E01, AM-E02, AM-E03, AM-E04, AM-E05, AM-E06, AM-E07, AM-E08, AM-E09, AM-E10, AM-E14, AM-E15, AM-L03, AM-L04, AM-L06, AM-L08, AM-N01, AM-N04, AM-N05, AM-N06, AM-N08, AM-N09, AM-N12, AM-N13, AM-N15, AM-N16, C07, C08, PR-E01, PR-N04, Y01, Y08</x:v>
      </x:c>
      <x:c r="L151" s="44"/>
      <x:c r="M151" s="44" t="str">
        <x:v>Use only at the listed supplied-stock strength.</x:v>
      </x:c>
      <x:c r="N151" s="44" t="str">
        <x:v>Unchanged from prior register.</x:v>
      </x:c>
    </x:row>
    <x:row r="152" ht="46" customHeight="1">
      <x:c r="A152" s="44" t="n">
        <x:v>125</x:v>
      </x:c>
      <x:c r="B152" s="44" t="str">
        <x:v>Juniper Berry EO</x:v>
      </x:c>
      <x:c r="C152" s="44" t="str">
        <x:v>HAVE</x:v>
      </x:c>
      <x:c r="D152" s="44" t="str">
        <x:v>Juniper Berry EO neat</x:v>
      </x:c>
      <x:c r="E152" s="44"/>
      <x:c r="F152" s="44" t="str">
        <x:v>Aromatic top</x:v>
      </x:c>
      <x:c r="G152" s="44" t="str">
        <x:v>target-required authentic material</x:v>
      </x:c>
      <x:c r="H152" s="46" t="n">
        <x:v>1</x:v>
      </x:c>
      <x:c r="I152" s="44" t="n">
        <x:v>5</x:v>
      </x:c>
      <x:c r="J152" s="44" t="n">
        <x:v>5</x:v>
      </x:c>
      <x:c r="K152" s="44" t="str">
        <x:v>AM-N03, AM-N10, AM-N14, PR-N01, PR-N02</x:v>
      </x:c>
      <x:c r="L152" s="44"/>
      <x:c r="M152" s="44" t="str">
        <x:v>Do not substitute silently; target-required material is not in stock.</x:v>
      </x:c>
      <x:c r="N152" s="44" t="str">
        <x:v>User confirms Juniper Berry EO.</x:v>
      </x:c>
    </x:row>
    <x:row r="153" ht="46" customHeight="1">
      <x:c r="A153" s="44" t="n">
        <x:v>126</x:v>
      </x:c>
      <x:c r="B153" s="44" t="str">
        <x:v>Kephalis</x:v>
      </x:c>
      <x:c r="C153" s="44" t="str">
        <x:v>HAVE — NEAT / AS SUPPLIED</x:v>
      </x:c>
      <x:c r="D153" s="44" t="str">
        <x:v>Kephalis neat/as supplied</x:v>
      </x:c>
      <x:c r="E153" s="44"/>
      <x:c r="F153" s="44" t="str">
        <x:v>woods_amber</x:v>
      </x:c>
      <x:c r="G153" s="44" t="str">
        <x:v>neat / as supplied</x:v>
      </x:c>
      <x:c r="H153" s="46" t="n">
        <x:v>1</x:v>
      </x:c>
      <x:c r="I153" s="44" t="n">
        <x:v>56</x:v>
      </x:c>
      <x:c r="J153" s="44" t="n">
        <x:v>56</x:v>
      </x:c>
      <x:c r="K153" s="44" t="str">
        <x:v>AM-E01, AM-E02, AM-E03, AM-E04, AM-E05, AM-E06, AM-E07, AM-E08, AM-E09, AM-E10, AM-E11, AM-E12, AM-E13, AM-E14, AM-E15, AM-E16, AM-L01, AM-L02, AM-L03, AM-L04, AM-L05, AM-L06, AM-L07, AM-L08, AM-L09, AM-N01, AM-N02, AM-N03, AM-N04, AM-N05, AM-N06, AM-N07, AM-N08, AM-N09, AM-N10, AM-N11, AM-N12, AM-N13, AM-N14, AM-N15, AM-N16, C07, C08, PR-E02, PR-E04, PR-E07, PR-E08, PR-L01, PR-N01, PR-N05, PR-N06, PR-N07, PR-N09, PR-N14, Y03, Y10</x:v>
      </x:c>
      <x:c r="L153" s="44"/>
      <x:c r="M153" s="44" t="str">
        <x:v>Use only at the listed supplied-stock strength.</x:v>
      </x:c>
      <x:c r="N153" s="44" t="str">
        <x:v>User confirmed ownership on 2026-08-07.</x:v>
      </x:c>
    </x:row>
    <x:row r="154" ht="46" customHeight="1">
      <x:c r="A154" s="44" t="n">
        <x:v>127</x:v>
      </x:c>
      <x:c r="B154" s="44" t="str">
        <x:v>Koavone</x:v>
      </x:c>
      <x:c r="C154" s="44" t="str">
        <x:v>HAVE — NEAT</x:v>
      </x:c>
      <x:c r="D154" s="44" t="str">
        <x:v>Koavone neat/as supplied</x:v>
      </x:c>
      <x:c r="E154" s="44"/>
      <x:c r="F154" s="44" t="str">
        <x:v>Iris / violet</x:v>
      </x:c>
      <x:c r="G154" s="44" t="str">
        <x:v>neat</x:v>
      </x:c>
      <x:c r="H154" s="46" t="n">
        <x:v>1</x:v>
      </x:c>
      <x:c r="I154" s="44" t="n">
        <x:v>5</x:v>
      </x:c>
      <x:c r="J154" s="44" t="n">
        <x:v>5</x:v>
      </x:c>
      <x:c r="K154" s="44" t="str">
        <x:v>PR-L04, PR-L05, PR-N04, Y01, Y11</x:v>
      </x:c>
      <x:c r="L154" s="44"/>
      <x:c r="M154" s="44" t="str">
        <x:v>Use only at the listed supplied-stock strength.</x:v>
      </x:c>
      <x:c r="N154" s="44" t="str">
        <x:v>User confirmed ownership on 2026-08-07.</x:v>
      </x:c>
    </x:row>
    <x:row r="155" ht="46" customHeight="1">
      <x:c r="A155" s="44" t="n">
        <x:v>128</x:v>
      </x:c>
      <x:c r="B155" s="44" t="str">
        <x:v>Labdanum 10%</x:v>
      </x:c>
      <x:c r="C155" s="44" t="str">
        <x:v>HAVE</x:v>
      </x:c>
      <x:c r="D155" s="44" t="str">
        <x:v>10% working stock</x:v>
      </x:c>
      <x:c r="E155" s="44"/>
      <x:c r="F155" s="44" t="str">
        <x:v>resin_incense</x:v>
      </x:c>
      <x:c r="G155" s="44" t="str">
        <x:v>10% working stock</x:v>
      </x:c>
      <x:c r="H155" s="46" t="n">
        <x:v>0.1</x:v>
      </x:c>
      <x:c r="I155" s="44" t="n">
        <x:v>74</x:v>
      </x:c>
      <x:c r="J155" s="44" t="n">
        <x:v>74</x:v>
      </x:c>
      <x:c r="K155" s="44" t="str">
        <x:v>AM-E01, AM-E02, AM-E03, AM-E04, AM-E05, AM-E06, AM-E07, AM-E08, AM-E10, AM-E11, AM-E12, AM-E13, AM-E14, AM-E15, AM-E16, AM-L02, AM-L03, AM-L04, AM-L05, AM-L06, AM-L07, AM-L08, AM-L09, AM-N01, AM-N02, AM-N03, AM-N04, AM-N05, AM-N07, AM-N08, AM-N09, AM-N10, AM-N11, AM-N12, AM-N13, AM-N15, AM-N16, C01, C07, C08, H01, H04, H05, H06, H07, H08, O02, O04, O05, PR-E01, PR-E02, PR-E04, PR-E05, PR-E07, PR-E08, PR-E09, PR-L01, PR-L04, PR-N05, PR-N06, PR-N07, PR-N09, PR-N13, S04, S05, S06, S08, Y03, Y04, Y07, Y08, Y09, Y10, Y11</x:v>
      </x:c>
      <x:c r="L155" s="44"/>
      <x:c r="M155" s="44" t="str">
        <x:v>Use only at the listed supplied-stock strength.</x:v>
      </x:c>
      <x:c r="N155" s="44" t="str">
        <x:v>Unchanged from prior register.</x:v>
      </x:c>
    </x:row>
    <x:row r="156" ht="46" customHeight="1">
      <x:c r="A156" s="44" t="n">
        <x:v>129</x:v>
      </x:c>
      <x:c r="B156" s="44" t="str">
        <x:v>Lavender EO High Altitude</x:v>
      </x:c>
      <x:c r="C156" s="44" t="str">
        <x:v>HAVE</x:v>
      </x:c>
      <x:c r="D156" s="44" t="str">
        <x:v>neat / as supplied</x:v>
      </x:c>
      <x:c r="E156" s="44"/>
      <x:c r="F156" s="44" t="str">
        <x:v>aromatic_top</x:v>
      </x:c>
      <x:c r="G156" s="44" t="str">
        <x:v>neat / as supplied</x:v>
      </x:c>
      <x:c r="H156" s="46" t="n">
        <x:v>1</x:v>
      </x:c>
      <x:c r="I156" s="44" t="n">
        <x:v>71</x:v>
      </x:c>
      <x:c r="J156" s="44" t="n">
        <x:v>71</x:v>
      </x:c>
      <x:c r="K156" s="44" t="str">
        <x:v>AM-E01, AM-E02, AM-E03, AM-E04, AM-E05, AM-E06, AM-E07, AM-E08, AM-E09, AM-E10, AM-E11, AM-E12, AM-E13, AM-E14, AM-E15, AM-E16, AM-L01, AM-L02, AM-L03, AM-L04, AM-L05, AM-L06, AM-L07, AM-L08, AM-L09, AM-N01, AM-N02, AM-N03, AM-N04, AM-N05, AM-N06, AM-N07, AM-N08, AM-N09, AM-N10, AM-N11, AM-N12, AM-N13, AM-N14, AM-N15, AM-N16, C02, C05, C07, C08, H01, H04, H08, H11, O03, PR-E03, PR-E04, PR-E06, PR-E07, PR-E08, PR-L01, PR-L02, PR-N01, PR-N02, PR-N05, S03, S06, S07, S08, Y08, Y09, Y10, Y11, Y12, Y13, Y14</x:v>
      </x:c>
      <x:c r="L156" s="44"/>
      <x:c r="M156" s="44" t="str">
        <x:v>Use only at the listed supplied-stock strength.</x:v>
      </x:c>
      <x:c r="N156" s="44" t="str">
        <x:v>Unchanged from prior register.</x:v>
      </x:c>
    </x:row>
    <x:row r="157" ht="46" customHeight="1">
      <x:c r="A157" s="44" t="n">
        <x:v>130</x:v>
      </x:c>
      <x:c r="B157" s="44" t="str">
        <x:v>Leafovert</x:v>
      </x:c>
      <x:c r="C157" s="44" t="str">
        <x:v>HAVE — NEAT</x:v>
      </x:c>
      <x:c r="D157" s="44" t="str">
        <x:v>Leafovert neat/as supplied</x:v>
      </x:c>
      <x:c r="E157" s="44"/>
      <x:c r="F157" s="44" t="str">
        <x:v>Green / fruit</x:v>
      </x:c>
      <x:c r="G157" s="44" t="str">
        <x:v>as supplied; verify label</x:v>
      </x:c>
      <x:c r="H157" s="46" t="n">
        <x:v>1</x:v>
      </x:c>
      <x:c r="I157" s="44" t="n">
        <x:v>47</x:v>
      </x:c>
      <x:c r="J157" s="44" t="n">
        <x:v>47</x:v>
      </x:c>
      <x:c r="K157" s="44" t="str">
        <x:v>AM-E01, AM-E02, AM-E03, AM-E04, AM-E05, AM-E06, AM-E07, AM-E08, AM-E09, AM-E10, AM-E11, AM-E12, AM-E13, AM-E14, AM-E15, AM-E16, AM-L01, AM-L02, AM-L03, AM-L04, AM-L05, AM-L06, AM-L07, AM-L08, AM-L09, AM-N01, AM-N02, AM-N03, AM-N04, AM-N05, AM-N06, AM-N07, AM-N08, AM-N09, AM-N10, AM-N11, AM-N12, AM-N13, AM-N14, AM-N15, AM-N16, H12, O06, PR-E01, PR-L05, PR-N04, Y01</x:v>
      </x:c>
      <x:c r="L157" s="44"/>
      <x:c r="M157" s="44" t="str">
        <x:v>Use only as neat Leafovert. Recalculate any formula or screen row previously written for an unresolved or diluted stock.</x:v>
      </x:c>
      <x:c r="N157" s="44" t="str">
        <x:v>User explicitly confirmed Leafovert is neat on 2026-08-07.</x:v>
      </x:c>
    </x:row>
    <x:row r="158" ht="46" customHeight="1">
      <x:c r="A158" s="44" t="n">
        <x:v>131</x:v>
      </x:c>
      <x:c r="B158" s="44" t="str">
        <x:v>Lemon FCF Oil Sicilian</x:v>
      </x:c>
      <x:c r="C158" s="44" t="str">
        <x:v>HAVE</x:v>
      </x:c>
      <x:c r="D158" s="44" t="str">
        <x:v>neat / as supplied</x:v>
      </x:c>
      <x:c r="E158" s="44"/>
      <x:c r="F158" s="44" t="str">
        <x:v>citrus_top</x:v>
      </x:c>
      <x:c r="G158" s="44" t="str">
        <x:v>neat / as supplied</x:v>
      </x:c>
      <x:c r="H158" s="46" t="n">
        <x:v>1</x:v>
      </x:c>
      <x:c r="I158" s="44" t="n">
        <x:v>62</x:v>
      </x:c>
      <x:c r="J158" s="44" t="n">
        <x:v>62</x:v>
      </x:c>
      <x:c r="K158" s="44" t="str">
        <x:v>AM-E01, AM-E02, AM-E03, AM-E04, AM-E05, AM-E06, AM-E07, AM-E08, AM-E09, AM-E10, AM-E12, AM-E13, AM-E14, AM-E15, AM-E16, AM-L01, AM-L02, AM-L03, AM-L04, AM-L06, AM-L07, AM-L08, AM-L09, AM-N01, AM-N02, AM-N03, AM-N04, AM-N05, AM-N06, AM-N07, AM-N09, AM-N10, AM-N11, AM-N12, AM-N13, AM-N14, AM-N15, AM-N16, C01, C02, C03, C04, C06, C07, H11, H12, H13, H14, H15, O05, O06, PR-E07, PR-L02, PR-N03, PR-N07, PR-N10, PR-N11, PR-N12, PR-N13, PR-N14, S03, Y14</x:v>
      </x:c>
      <x:c r="L158" s="44"/>
      <x:c r="M158" s="44" t="str">
        <x:v>Use only at the listed supplied-stock strength.</x:v>
      </x:c>
      <x:c r="N158" s="44" t="str">
        <x:v>Unchanged from prior register.</x:v>
      </x:c>
    </x:row>
    <x:row r="159" ht="52" customHeight="1">
      <x:c r="A159" s="44" t="n">
        <x:v>132</x:v>
      </x:c>
      <x:c r="B159" s="44" t="str">
        <x:v>Licorice Accord 10%</x:v>
      </x:c>
      <x:c r="C159" s="44" t="str">
        <x:v>CONSTRUCTIBLE ACCORD — NOT YET MIXED</x:v>
      </x:c>
      <x:c r="D159" s="44" t="str">
        <x:v>Licorice Accord v0.1 can be built from Anisaldehyde 10%, Anise EO 1%, Coumarin 20%, Vanillin 10%, Immortelle Absolute 10%, Benzoin and supporting dark traces.</x:v>
      </x:c>
      <x:c r="E159" s="44" t="str">
        <x:v>Prepare from the Constructible Accords sheet.</x:v>
      </x:c>
      <x:c r="F159" s="44" t="str">
        <x:v>Sweet balsamic</x:v>
      </x:c>
      <x:c r="G159" s="44" t="str">
        <x:v>10% target-required accord</x:v>
      </x:c>
      <x:c r="H159" s="46" t="n">
        <x:v>0.1</x:v>
      </x:c>
      <x:c r="I159" s="44" t="n">
        <x:v>1</x:v>
      </x:c>
      <x:c r="J159" s="44" t="n">
        <x:v>1</x:v>
      </x:c>
      <x:c r="K159" s="44" t="str">
        <x:v>PR-E04</x:v>
      </x:c>
      <x:c r="L159" s="44" t="str">
        <x:v>Anise EO alone is not a complete licorice accord.</x:v>
      </x:c>
      <x:c r="M159" s="44" t="str">
        <x:v>Use only after standalone accord testing and target-specific comparison.</x:v>
      </x:c>
      <x:c r="N159" s="44" t="str">
        <x:v>User owns Anise EO and the supporting materials.</x:v>
      </x:c>
    </x:row>
    <x:row r="160" ht="46" customHeight="1">
      <x:c r="A160" s="44" t="n">
        <x:v>133</x:v>
      </x:c>
      <x:c r="B160" s="44" t="str">
        <x:v>Lilyreal ND</x:v>
      </x:c>
      <x:c r="C160" s="44" t="str">
        <x:v>HAVE — PRODUCT BASIS</x:v>
      </x:c>
      <x:c r="D160" s="44" t="str">
        <x:v>Lilyreal ND as supplied; composition not inferred</x:v>
      </x:c>
      <x:c r="E160" s="44"/>
      <x:c r="F160" s="44" t="str">
        <x:v>air_floral</x:v>
      </x:c>
      <x:c r="G160" s="44" t="str">
        <x:v>as supplied; product basis</x:v>
      </x:c>
      <x:c r="H160" s="46"/>
      <x:c r="I160" s="44" t="n">
        <x:v>1</x:v>
      </x:c>
      <x:c r="J160" s="44" t="n">
        <x:v>1</x:v>
      </x:c>
      <x:c r="K160" s="44" t="str">
        <x:v>Y12</x:v>
      </x:c>
      <x:c r="L160" s="44" t="str">
        <x:v>Named replacer/product basis; not treated as Lilial or as a disclosed single molecule.</x:v>
      </x:c>
      <x:c r="M160" s="44" t="str">
        <x:v>Use only as the named product basis; no internal composition or active fraction is invented.</x:v>
      </x:c>
      <x:c r="N160" s="44" t="str">
        <x:v>User confirmed ownership on 2026-08-07.</x:v>
      </x:c>
    </x:row>
    <x:row r="161" ht="46" customHeight="1">
      <x:c r="A161" s="44" t="n">
        <x:v>134</x:v>
      </x:c>
      <x:c r="B161" s="44" t="str">
        <x:v>Lime Distilled EO</x:v>
      </x:c>
      <x:c r="C161" s="44" t="str">
        <x:v>HAVE — NEAT / LOT DETAIL OPEN</x:v>
      </x:c>
      <x:c r="D161" s="44" t="str">
        <x:v>Lime Distilled EO neat/as supplied; supplier and lot not yet recorded</x:v>
      </x:c>
      <x:c r="E161" s="44"/>
      <x:c r="F161" s="44" t="str">
        <x:v>citrus_top</x:v>
      </x:c>
      <x:c r="G161" s="44" t="str">
        <x:v>neat / as supplied</x:v>
      </x:c>
      <x:c r="H161" s="46" t="n">
        <x:v>1</x:v>
      </x:c>
      <x:c r="I161" s="44" t="n">
        <x:v>4</x:v>
      </x:c>
      <x:c r="J161" s="44" t="n">
        <x:v>4</x:v>
      </x:c>
      <x:c r="K161" s="44" t="str">
        <x:v>AM-E16, AM-N04, PR-L02, Y05</x:v>
      </x:c>
      <x:c r="L161" s="44"/>
      <x:c r="M161" s="44" t="str">
        <x:v>Use only at the listed supplied-stock strength.</x:v>
      </x:c>
      <x:c r="N161" s="44" t="str">
        <x:v>User confirmed ownership on 2026-08-07.</x:v>
      </x:c>
    </x:row>
    <x:row r="162" ht="46" customHeight="1">
      <x:c r="A162" s="44" t="n">
        <x:v>135</x:v>
      </x:c>
      <x:c r="B162" s="44" t="str">
        <x:v>Linalool</x:v>
      </x:c>
      <x:c r="C162" s="44" t="str">
        <x:v>HAVE</x:v>
      </x:c>
      <x:c r="D162" s="44" t="str">
        <x:v>neat/as supplied</x:v>
      </x:c>
      <x:c r="E162" s="44"/>
      <x:c r="F162" s="44" t="str">
        <x:v>aromatic_top</x:v>
      </x:c>
      <x:c r="G162" s="44" t="str">
        <x:v>neat / as supplied</x:v>
      </x:c>
      <x:c r="H162" s="46" t="n">
        <x:v>1</x:v>
      </x:c>
      <x:c r="I162" s="44" t="n">
        <x:v>104</x:v>
      </x:c>
      <x:c r="J162" s="44" t="n">
        <x:v>104</x:v>
      </x:c>
      <x:c r="K162"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O01, O02, O03, O05, O06, PR-E01, PR-E02, PR-E03, PR-E04, PR-E06, PR-E07, PR-E08, PR-E09, PR-L01, PR-L02, PR-L03, PR-L05, PR-N01, PR-N02, PR-N04, S01, S02, S03, S04, S05, S06, S07, S08, Y01, Y03, Y04, Y05, Y06, Y07, Y08, Y09, Y10, Y11, Y12, Y13, Y14</x:v>
      </x:c>
      <x:c r="L162" s="44"/>
      <x:c r="M162" s="44" t="str">
        <x:v>Use only at the listed supplied-stock strength.</x:v>
      </x:c>
      <x:c r="N162" s="44" t="str">
        <x:v>Unchanged from prior register. Confirms item 135.</x:v>
      </x:c>
    </x:row>
    <x:row r="163" ht="46" customHeight="1">
      <x:c r="A163" s="44" t="n">
        <x:v>136</x:v>
      </x:c>
      <x:c r="B163" s="44" t="str">
        <x:v>Linalyl Acetate</x:v>
      </x:c>
      <x:c r="C163" s="44" t="str">
        <x:v>HAVE</x:v>
      </x:c>
      <x:c r="D163" s="44" t="str">
        <x:v>neat/as supplied</x:v>
      </x:c>
      <x:c r="E163" s="44"/>
      <x:c r="F163" s="44" t="str">
        <x:v>aromatic_top</x:v>
      </x:c>
      <x:c r="G163" s="44" t="str">
        <x:v>neat / as supplied</x:v>
      </x:c>
      <x:c r="H163" s="46" t="n">
        <x:v>1</x:v>
      </x:c>
      <x:c r="I163" s="44" t="n">
        <x:v>82</x:v>
      </x:c>
      <x:c r="J163" s="44" t="n">
        <x:v>82</x:v>
      </x:c>
      <x:c r="K163"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H09, O03, O05, O06, PR-E01, PR-E03, PR-E04, PR-E06, PR-E07, PR-E08, PR-L01, PR-L02, PR-L03, PR-L05, PR-N01, PR-N02, PR-N04, S01, S02, S03, S04, S05, S06, S07, S08, Y01, Y08, Y09, Y10, Y11, Y12, Y13, Y14</x:v>
      </x:c>
      <x:c r="L163" s="44"/>
      <x:c r="M163" s="44" t="str">
        <x:v>Use only at the listed supplied-stock strength.</x:v>
      </x:c>
      <x:c r="N163" s="44" t="str">
        <x:v>Unchanged from prior register. Confirms item 136.</x:v>
      </x:c>
    </x:row>
    <x:row r="164" ht="46" customHeight="1">
      <x:c r="A164" s="44" t="n">
        <x:v>137</x:v>
      </x:c>
      <x:c r="B164" s="44" t="str">
        <x:v>Macrolide</x:v>
      </x:c>
      <x:c r="C164" s="44" t="str">
        <x:v>HAVE</x:v>
      </x:c>
      <x:c r="D164" s="44" t="str">
        <x:v>as supplied</x:v>
      </x:c>
      <x:c r="E164" s="44"/>
      <x:c r="F164" s="44" t="str">
        <x:v>musk</x:v>
      </x:c>
      <x:c r="G164" s="44" t="str">
        <x:v>as supplied</x:v>
      </x:c>
      <x:c r="H164" s="46" t="n">
        <x:v>1</x:v>
      </x:c>
      <x:c r="I164" s="44" t="n">
        <x:v>90</x:v>
      </x:c>
      <x:c r="J164" s="44" t="n">
        <x:v>90</x:v>
      </x:c>
      <x:c r="K164" s="44" t="str">
        <x:v>AM-E01, AM-E02, AM-E03, AM-E04, AM-E05, AM-E06, AM-E07, AM-E08, AM-E09, AM-E10, AM-E11, AM-E12, AM-E13, AM-E14, AM-E15, AM-E16, AM-L01, AM-L02, AM-L03, AM-L04, AM-L05, AM-L06, AM-L07, AM-L08, AM-L09, AM-N01, AM-N02, AM-N03, AM-N04, AM-N05, AM-N06, AM-N07, AM-N08, AM-N09, AM-N10, AM-N11, AM-N12, AM-N13, AM-N14, AM-N15, AM-N16, C01, C02, C03, C04, C06, C07, C08, H01, H02, H03, H04, H05, H06, H07, H08, H10, H11, H12, H13, H14, H15, O01, O02, O03, O04, O05, O06, S01, S02, S03, S04, S05, S06, S07, S08, Y01, Y02, Y03, Y04, Y05, Y06, Y07, Y08, Y09, Y10, Y11, Y12, Y13, Y14</x:v>
      </x:c>
      <x:c r="L164" s="44"/>
      <x:c r="M164" s="44" t="str">
        <x:v>Use only at the listed supplied-stock strength.</x:v>
      </x:c>
      <x:c r="N164" s="44" t="str">
        <x:v>Unchanged from prior register.</x:v>
      </x:c>
    </x:row>
    <x:row r="165" ht="46" customHeight="1">
      <x:c r="A165" s="44" t="n">
        <x:v>138</x:v>
      </x:c>
      <x:c r="B165" s="44" t="str">
        <x:v>Magnolia EO</x:v>
      </x:c>
      <x:c r="C165" s="44" t="str">
        <x:v>HAVE</x:v>
      </x:c>
      <x:c r="D165" s="44" t="str">
        <x:v>neat / as supplied</x:v>
      </x:c>
      <x:c r="E165" s="44"/>
      <x:c r="F165" s="44" t="str">
        <x:v>air_floral</x:v>
      </x:c>
      <x:c r="G165" s="44" t="str">
        <x:v>neat / as supplied</x:v>
      </x:c>
      <x:c r="H165" s="46" t="n">
        <x:v>1</x:v>
      </x:c>
      <x:c r="I165" s="44" t="n">
        <x:v>82</x:v>
      </x:c>
      <x:c r="J165" s="44" t="n">
        <x:v>82</x:v>
      </x:c>
      <x:c r="K165" s="44" t="str">
        <x:v>AM-E01, AM-E02, AM-E03, AM-E04, AM-E05, AM-E06, AM-E07, AM-E08, AM-E09, AM-E10, AM-E11, AM-E12, AM-E13, AM-E14, AM-E15, AM-L01, AM-L02, AM-L03, AM-L04, AM-L05, AM-L06, AM-L07, AM-L08, AM-L09, AM-N01, AM-N02, AM-N03, AM-N04, AM-N05, AM-N06, AM-N07, AM-N08, AM-N09, AM-N11, AM-N12, AM-N13, AM-N14, AM-N15, AM-N16, C01, C02, C03, C04, C06, C07, H01, H02, H03, H04, H05, H06, H07, H09, H10, H11, H12, O01, O02, O03, O04, O05, O06, PR-E01, PR-L03, PR-L05, PR-N04, PR-N14, S07, Y01, Y02, Y03, Y04, Y05, Y06, Y07, Y08, Y09, Y10, Y11, Y12, Y13, Y14</x:v>
      </x:c>
      <x:c r="L165" s="44"/>
      <x:c r="M165" s="44" t="str">
        <x:v>Use only at the listed supplied-stock strength.</x:v>
      </x:c>
      <x:c r="N165" s="44" t="str">
        <x:v>Unchanged from prior register.</x:v>
      </x:c>
    </x:row>
    <x:row r="166" ht="46" customHeight="1">
      <x:c r="A166" s="44" t="n">
        <x:v>139</x:v>
      </x:c>
      <x:c r="B166" s="44" t="str">
        <x:v>Marjoram EO 10%</x:v>
      </x:c>
      <x:c r="C166" s="44" t="str">
        <x:v>GAP</x:v>
      </x:c>
      <x:c r="D166" s="44"/>
      <x:c r="E166" s="44"/>
      <x:c r="F166" s="44" t="str">
        <x:v>Aromatic top</x:v>
      </x:c>
      <x:c r="G166" s="44" t="str">
        <x:v>10% target-required working dilution</x:v>
      </x:c>
      <x:c r="H166" s="46" t="n">
        <x:v>0.1</x:v>
      </x:c>
      <x:c r="I166" s="44" t="n">
        <x:v>1</x:v>
      </x:c>
      <x:c r="J166" s="44" t="n">
        <x:v>1</x:v>
      </x:c>
      <x:c r="K166" s="44" t="str">
        <x:v>AM-L09</x:v>
      </x:c>
      <x:c r="L166" s="44"/>
      <x:c r="M166" s="44" t="str">
        <x:v>Do not substitute silently; target-required material is not in stock.</x:v>
      </x:c>
      <x:c r="N166" s="44" t="str">
        <x:v>Marjoram EO remains a gap.</x:v>
      </x:c>
    </x:row>
    <x:row r="167" ht="46" customHeight="1">
      <x:c r="A167" s="44" t="n">
        <x:v>140</x:v>
      </x:c>
      <x:c r="B167" s="44" t="str">
        <x:v>Mayol</x:v>
      </x:c>
      <x:c r="C167" s="44" t="str">
        <x:v>HAVE — NEAT</x:v>
      </x:c>
      <x:c r="D167" s="44" t="str">
        <x:v>Mayol neat/as supplied</x:v>
      </x:c>
      <x:c r="E167" s="44"/>
      <x:c r="F167" s="44" t="str">
        <x:v>Floral air</x:v>
      </x:c>
      <x:c r="G167" s="44" t="str">
        <x:v>neat</x:v>
      </x:c>
      <x:c r="H167" s="46" t="n">
        <x:v>1</x:v>
      </x:c>
      <x:c r="I167" s="44" t="n">
        <x:v>1</x:v>
      </x:c>
      <x:c r="J167" s="44" t="n">
        <x:v>1</x:v>
      </x:c>
      <x:c r="K167" s="44" t="str">
        <x:v>PR-E01</x:v>
      </x:c>
      <x:c r="L167" s="44"/>
      <x:c r="M167" s="44" t="str">
        <x:v>Use only at the listed supplied-stock strength.</x:v>
      </x:c>
      <x:c r="N167" s="44" t="str">
        <x:v>User confirmed ownership on 2026-08-07.</x:v>
      </x:c>
    </x:row>
    <x:row r="168" ht="46" customHeight="1">
      <x:c r="A168" s="44"/>
      <x:c r="B168" s="44" t="str">
        <x:v>Melonal</x:v>
      </x:c>
      <x:c r="C168" s="44" t="str">
        <x:v>HAVE — NEAT</x:v>
      </x:c>
      <x:c r="D168" s="44" t="str">
        <x:v>Melonal neat/as supplied</x:v>
      </x:c>
      <x:c r="E168" s="44"/>
      <x:c r="F168" s="44" t="str">
        <x:v>Marine / fruity</x:v>
      </x:c>
      <x:c r="G168" s="44"/>
      <x:c r="H168" s="46"/>
      <x:c r="I168" s="44" t="n">
        <x:v>0</x:v>
      </x:c>
      <x:c r="J168" s="44" t="n">
        <x:v>0</x:v>
      </x:c>
      <x:c r="K168" s="44"/>
      <x:c r="L168" s="44"/>
      <x:c r="M168" s="44" t="str">
        <x:v>Use only with exact label/stock-strength accounting.</x:v>
      </x:c>
      <x:c r="N168" s="44" t="str">
        <x:v>User confirmed ownership on 2026-08-07.</x:v>
      </x:c>
    </x:row>
    <x:row r="169" ht="52" customHeight="1">
      <x:c r="A169" s="44" t="n">
        <x:v>141</x:v>
      </x:c>
      <x:c r="B169" s="44" t="str">
        <x:v>Metallic Linen Aldehyde Accord 10%</x:v>
      </x:c>
      <x:c r="C169" s="44" t="str">
        <x:v>CONSTRUCTIBLE FUNCTIONAL ACCORD — NOT YET MIXED</x:v>
      </x:c>
      <x:c r="D169" s="44" t="str">
        <x:v>Metallic Linen Accord v0.1 can be built from Habanolide, Galaxolide 50%, Hedione, Hydroxycitronellal, Helional 10%, Floralozone 10%, Adoxal 10% and C10–C12 MNA aldehydes.</x:v>
      </x:c>
      <x:c r="E169" s="44" t="str">
        <x:v>Prepare from the Constructible Accords sheet.</x:v>
      </x:c>
      <x:c r="F169" s="44" t="str">
        <x:v>Aldehydic / clean linen</x:v>
      </x:c>
      <x:c r="G169" s="44" t="str">
        <x:v>10% target-required accord</x:v>
      </x:c>
      <x:c r="H169" s="46"/>
      <x:c r="I169" s="44" t="n">
        <x:v>1</x:v>
      </x:c>
      <x:c r="J169" s="44" t="n">
        <x:v>1</x:v>
      </x:c>
      <x:c r="K169" s="44" t="str">
        <x:v>PR-E01</x:v>
      </x:c>
      <x:c r="L169" s="44" t="str">
        <x:v>This is an explicit fresh-linen/metallic accord, not a mystery base.</x:v>
      </x:c>
      <x:c r="M169" s="44" t="str">
        <x:v>Use as a named accord and tune against the real perfume. Do not let Floralozone or Adoxal turn it marine.</x:v>
      </x:c>
      <x:c r="N169" s="44" t="str">
        <x:v>User has the required musks, aldehydes and fresh-air materials.</x:v>
      </x:c>
    </x:row>
    <x:row r="170" ht="46" customHeight="1">
      <x:c r="A170" s="44" t="n">
        <x:v>142</x:v>
      </x:c>
      <x:c r="B170" s="44" t="str">
        <x:v>Methyl Anthranilate</x:v>
      </x:c>
      <x:c r="C170" s="44" t="str">
        <x:v>HAVE</x:v>
      </x:c>
      <x:c r="D170" s="44" t="str">
        <x:v>neat / as supplied</x:v>
      </x:c>
      <x:c r="E170" s="44"/>
      <x:c r="F170" s="44" t="str">
        <x:v>air_floral</x:v>
      </x:c>
      <x:c r="G170" s="44" t="str">
        <x:v>neat / as supplied</x:v>
      </x:c>
      <x:c r="H170" s="46" t="n">
        <x:v>1</x:v>
      </x:c>
      <x:c r="I170" s="44" t="n">
        <x:v>19</x:v>
      </x:c>
      <x:c r="J170" s="44" t="n">
        <x:v>19</x:v>
      </x:c>
      <x:c r="K170" s="44" t="str">
        <x:v>C02, H01, H02, H03, H04, H05, H06, H07, H10, H11, H12, O01, O02, O05, O06, S07, Y03, Y04, Y06</x:v>
      </x:c>
      <x:c r="L170" s="44"/>
      <x:c r="M170" s="44" t="str">
        <x:v>Use only at the listed supplied-stock strength.</x:v>
      </x:c>
      <x:c r="N170" s="44" t="str">
        <x:v>Unchanged from prior register.</x:v>
      </x:c>
    </x:row>
    <x:row r="171" ht="46" customHeight="1">
      <x:c r="A171" s="44" t="n">
        <x:v>143</x:v>
      </x:c>
      <x:c r="B171" s="44" t="str">
        <x:v>Methyl Anthranilate 10%</x:v>
      </x:c>
      <x:c r="C171" s="44" t="str">
        <x:v>HAVE — NEAT / PREPARE</x:v>
      </x:c>
      <x:c r="D171" s="44" t="str">
        <x:v>Methyl Anthranilate neat</x:v>
      </x:c>
      <x:c r="E171" s="44" t="str">
        <x:v>Prepare 10% only if required.</x:v>
      </x:c>
      <x:c r="F171" s="44" t="str">
        <x:v>Air floral</x:v>
      </x:c>
      <x:c r="G171" s="44" t="str">
        <x:v>10% working dilution</x:v>
      </x:c>
      <x:c r="H171" s="46" t="n">
        <x:v>0.1</x:v>
      </x:c>
      <x:c r="I171" s="44" t="n">
        <x:v>11</x:v>
      </x:c>
      <x:c r="J171" s="44" t="n">
        <x:v>11</x:v>
      </x:c>
      <x:c r="K171" s="44" t="str">
        <x:v>AM-E01, AM-E09, AM-E10, AM-L08, AM-N01, AM-N05, AM-N06, AM-N12, AM-N16, H09, PR-N14</x:v>
      </x:c>
      <x:c r="L171" s="44"/>
      <x:c r="M171" s="44" t="str">
        <x:v>Use only at the listed supplied-stock strength.</x:v>
      </x:c>
      <x:c r="N171" s="44" t="str">
        <x:v>Can prepare the dilution.</x:v>
      </x:c>
    </x:row>
    <x:row r="172" ht="46" customHeight="1">
      <x:c r="A172" s="44" t="n">
        <x:v>144</x:v>
      </x:c>
      <x:c r="B172" s="44" t="str">
        <x:v>Methyl Nonyl Ketone</x:v>
      </x:c>
      <x:c r="C172" s="44" t="str">
        <x:v>HAVE — NEAT + 1%</x:v>
      </x:c>
      <x:c r="D172" s="44" t="str">
        <x:v>Methyl Nonyl Ketone neat/as supplied; 1% working stock</x:v>
      </x:c>
      <x:c r="E172" s="44"/>
      <x:c r="F172" s="44" t="str">
        <x:v>green_fruit</x:v>
      </x:c>
      <x:c r="G172" s="44" t="str">
        <x:v>neat / as supplied</x:v>
      </x:c>
      <x:c r="H172" s="46" t="n">
        <x:v>1</x:v>
      </x:c>
      <x:c r="I172" s="44" t="n">
        <x:v>9</x:v>
      </x:c>
      <x:c r="J172" s="44" t="n">
        <x:v>9</x:v>
      </x:c>
      <x:c r="K172" s="44" t="str">
        <x:v>C04, C07, O04, Y01, Y07, Y10, Y12, Y13, Y14</x:v>
      </x:c>
      <x:c r="L172" s="44"/>
      <x:c r="M172" s="44" t="str">
        <x:v>Formula must specify neat versus 1% stock.</x:v>
      </x:c>
      <x:c r="N172" s="44" t="str">
        <x:v>User confirmed ownership on 2026-08-07.</x:v>
      </x:c>
    </x:row>
    <x:row r="173" ht="46" customHeight="1">
      <x:c r="A173" s="44" t="n">
        <x:v>145</x:v>
      </x:c>
      <x:c r="B173" s="44" t="str">
        <x:v>Methyl Nonyl Ketone 1%</x:v>
      </x:c>
      <x:c r="C173" s="44" t="str">
        <x:v>HAVE — NEAT / PREPARE</x:v>
      </x:c>
      <x:c r="D173" s="44" t="str">
        <x:v>Methyl Nonyl Ketone neat</x:v>
      </x:c>
      <x:c r="E173" s="44" t="str">
        <x:v>Prepare 1% only if required.</x:v>
      </x:c>
      <x:c r="F173" s="44" t="str">
        <x:v>Green fruit</x:v>
      </x:c>
      <x:c r="G173" s="44" t="str">
        <x:v>1% working dilution</x:v>
      </x:c>
      <x:c r="H173" s="46" t="n">
        <x:v>0.01</x:v>
      </x:c>
      <x:c r="I173" s="44" t="n">
        <x:v>21</x:v>
      </x:c>
      <x:c r="J173" s="44" t="n">
        <x:v>21</x:v>
      </x:c>
      <x:c r="K173" s="44" t="str">
        <x:v>AM-E03, AM-E06, AM-E08, AM-E09, AM-E10, AM-E11, AM-L01, AM-L02, AM-L03, AM-L05, AM-L07, AM-L09, AM-N01, AM-N02, AM-N03, AM-N06, AM-N07, AM-N10, AM-N14, AM-N15, PR-N01</x:v>
      </x:c>
      <x:c r="L173" s="44"/>
      <x:c r="M173" s="44" t="str">
        <x:v>Use only at the listed supplied-stock strength.</x:v>
      </x:c>
      <x:c r="N173" s="44" t="str">
        <x:v>Can prepare the dilution.</x:v>
      </x:c>
    </x:row>
    <x:row r="174" ht="46" customHeight="1">
      <x:c r="A174" s="44" t="n">
        <x:v>146</x:v>
      </x:c>
      <x:c r="B174" s="44" t="str">
        <x:v>Methyl Salicylate</x:v>
      </x:c>
      <x:c r="C174" s="44" t="str">
        <x:v>HAVE</x:v>
      </x:c>
      <x:c r="D174" s="44" t="str">
        <x:v>neat</x:v>
      </x:c>
      <x:c r="E174" s="44"/>
      <x:c r="F174" s="44" t="str">
        <x:v>Green / fruit</x:v>
      </x:c>
      <x:c r="G174" s="44" t="str">
        <x:v>neat</x:v>
      </x:c>
      <x:c r="H174" s="46" t="n">
        <x:v>1</x:v>
      </x:c>
      <x:c r="I174" s="44" t="n">
        <x:v>1</x:v>
      </x:c>
      <x:c r="J174" s="44" t="n">
        <x:v>1</x:v>
      </x:c>
      <x:c r="K174" s="44" t="str">
        <x:v>PR-E08</x:v>
      </x:c>
      <x:c r="L174" s="44"/>
      <x:c r="M174" s="44" t="str">
        <x:v>Use only at the listed supplied-stock strength.</x:v>
      </x:c>
      <x:c r="N174" s="44" t="str">
        <x:v>Unchanged from prior register.</x:v>
      </x:c>
    </x:row>
    <x:row r="175" ht="46" customHeight="1">
      <x:c r="A175" s="44"/>
      <x:c r="B175" s="44" t="str">
        <x:v>Mimosa Absolute 10%</x:v>
      </x:c>
      <x:c r="C175" s="44" t="str">
        <x:v>HAVE — 10% IN DPG</x:v>
      </x:c>
      <x:c r="D175" s="44" t="str">
        <x:v>Mimosa Absolute 10% in DPG</x:v>
      </x:c>
      <x:c r="E175" s="44"/>
      <x:c r="F175" s="44" t="str">
        <x:v>Floral / powder</x:v>
      </x:c>
      <x:c r="G175" s="44"/>
      <x:c r="H175" s="46"/>
      <x:c r="I175" s="44" t="n">
        <x:v>0</x:v>
      </x:c>
      <x:c r="J175" s="44" t="n">
        <x:v>0</x:v>
      </x:c>
      <x:c r="K175" s="44"/>
      <x:c r="L175" s="44"/>
      <x:c r="M175" s="44" t="str">
        <x:v>Use only with exact label/stock-strength accounting.</x:v>
      </x:c>
      <x:c r="N175" s="44" t="str">
        <x:v>User confirmed ownership on 2026-08-07.</x:v>
      </x:c>
    </x:row>
    <x:row r="176" ht="46" customHeight="1">
      <x:c r="A176" s="44" t="n">
        <x:v>148</x:v>
      </x:c>
      <x:c r="B176" s="44" t="str">
        <x:v>Musk Ketone 10%</x:v>
      </x:c>
      <x:c r="C176" s="44" t="str">
        <x:v>HAVE</x:v>
      </x:c>
      <x:c r="D176" s="44" t="str">
        <x:v>10% in DPG</x:v>
      </x:c>
      <x:c r="E176" s="44"/>
      <x:c r="F176" s="44" t="str">
        <x:v>Musk</x:v>
      </x:c>
      <x:c r="G176" s="44" t="str">
        <x:v>10% in DPG</x:v>
      </x:c>
      <x:c r="H176" s="46" t="n">
        <x:v>0.1</x:v>
      </x:c>
      <x:c r="I176" s="44" t="n">
        <x:v>74</x:v>
      </x:c>
      <x:c r="J176" s="44" t="n">
        <x:v>74</x:v>
      </x:c>
      <x:c r="K176" s="44" t="str">
        <x:v>AM-E01, AM-E02, AM-E03, AM-E04, AM-E05, AM-E06, AM-E07, AM-E08, AM-E09, AM-E10, AM-E11, AM-E12, AM-E13, AM-E14, AM-E15, AM-E16, AM-L01, AM-L02, AM-L03, AM-L04, AM-L05, AM-L06, AM-L07, AM-L08, AM-L09, AM-N01, AM-N02, AM-N03, AM-N04, AM-N05, AM-N06, AM-N07, AM-N08, AM-N09, AM-N10, AM-N11, AM-N12, AM-N13, AM-N15, AM-N16, C01, H01, H02, H03, H04, H05, H06, H07, H08, H10, H11, H12, H13, H14, H15, PR-E05, PR-E07, PR-E08, PR-L01, PR-L04, PR-N05, PR-N07, PR-N09, PR-N14, S01, S02, S03, S04, S05, S06, S07, S08, Y08, Y12</x:v>
      </x:c>
      <x:c r="L176" s="44"/>
      <x:c r="M176" s="44" t="str">
        <x:v>Use only at the listed supplied-stock strength.</x:v>
      </x:c>
      <x:c r="N176" s="44" t="str">
        <x:v>Unchanged from prior register.</x:v>
      </x:c>
    </x:row>
    <x:row r="177" ht="46" customHeight="1">
      <x:c r="A177" s="44" t="n">
        <x:v>149</x:v>
      </x:c>
      <x:c r="B177" s="44" t="str">
        <x:v>Myrrh Resinoid 50%</x:v>
      </x:c>
      <x:c r="C177" s="44" t="str">
        <x:v>GAP</x:v>
      </x:c>
      <x:c r="D177" s="44"/>
      <x:c r="E177" s="44"/>
      <x:c r="F177" s="44" t="str">
        <x:v>Resin / incense</x:v>
      </x:c>
      <x:c r="G177" s="44" t="str">
        <x:v>50% target-required working dilution</x:v>
      </x:c>
      <x:c r="H177" s="46" t="n">
        <x:v>0.5</x:v>
      </x:c>
      <x:c r="I177" s="44" t="n">
        <x:v>7</x:v>
      </x:c>
      <x:c r="J177" s="44" t="n">
        <x:v>7</x:v>
      </x:c>
      <x:c r="K177" s="44" t="str">
        <x:v>AM-E07, AM-E10, AM-N02, AM-N05, AM-N14, AM-N16, PR-E08</x:v>
      </x:c>
      <x:c r="L177" s="44"/>
      <x:c r="M177" s="44" t="str">
        <x:v>Do not substitute silently; target-required material is not in stock.</x:v>
      </x:c>
      <x:c r="N177" s="44" t="str">
        <x:v>Unchanged from prior register.</x:v>
      </x:c>
    </x:row>
    <x:row r="178" ht="46" customHeight="1">
      <x:c r="A178" s="44"/>
      <x:c r="B178" s="44" t="str">
        <x:v>Nagamortha Oil</x:v>
      </x:c>
      <x:c r="C178" s="44" t="str">
        <x:v>HAVE</x:v>
      </x:c>
      <x:c r="D178" s="44" t="str">
        <x:v>neat/as supplied</x:v>
      </x:c>
      <x:c r="E178" s="44"/>
      <x:c r="F178" s="44" t="str">
        <x:v>Woody / cypriol</x:v>
      </x:c>
      <x:c r="G178" s="44"/>
      <x:c r="H178" s="46"/>
      <x:c r="I178" s="44" t="n">
        <x:v>0</x:v>
      </x:c>
      <x:c r="J178" s="44" t="n">
        <x:v>0</x:v>
      </x:c>
      <x:c r="K178" s="44"/>
      <x:c r="L178" s="44"/>
      <x:c r="M178" s="44" t="str">
        <x:v>Use only with exact label/stock-strength accounting.</x:v>
      </x:c>
      <x:c r="N178" s="44" t="str">
        <x:v>Alias family: Cypriol/Papyrus; verify botanical and supplier.</x:v>
      </x:c>
    </x:row>
    <x:row r="179" ht="46" customHeight="1">
      <x:c r="A179" s="44"/>
      <x:c r="B179" s="44" t="str">
        <x:v>Nerol</x:v>
      </x:c>
      <x:c r="C179" s="44" t="str">
        <x:v>HAVE — NEAT</x:v>
      </x:c>
      <x:c r="D179" s="44" t="str">
        <x:v>Nerol neat/as supplied</x:v>
      </x:c>
      <x:c r="E179" s="44"/>
      <x:c r="F179" s="44" t="str">
        <x:v>Floral / citrus</x:v>
      </x:c>
      <x:c r="G179" s="44"/>
      <x:c r="H179" s="46"/>
      <x:c r="I179" s="44" t="n">
        <x:v>0</x:v>
      </x:c>
      <x:c r="J179" s="44" t="n">
        <x:v>0</x:v>
      </x:c>
      <x:c r="K179" s="44"/>
      <x:c r="L179" s="44"/>
      <x:c r="M179" s="44" t="str">
        <x:v>Use only with exact label/stock-strength accounting.</x:v>
      </x:c>
      <x:c r="N179" s="44" t="str">
        <x:v>User confirmed ownership on 2026-08-07.</x:v>
      </x:c>
    </x:row>
    <x:row r="180" ht="46" customHeight="1">
      <x:c r="A180" s="44" t="n">
        <x:v>151</x:v>
      </x:c>
      <x:c r="B180" s="44" t="str">
        <x:v>Neroli EO 10% in DPG</x:v>
      </x:c>
      <x:c r="C180" s="44" t="str">
        <x:v>HAVE — 10% ONLY</x:v>
      </x:c>
      <x:c r="D180" s="44" t="str">
        <x:v>Neroli EO 10% in DPG</x:v>
      </x:c>
      <x:c r="E180" s="44"/>
      <x:c r="F180" s="44" t="str">
        <x:v>air_floral</x:v>
      </x:c>
      <x:c r="G180" s="44" t="str">
        <x:v>10% working stock</x:v>
      </x:c>
      <x:c r="H180" s="46" t="n">
        <x:v>0.1</x:v>
      </x:c>
      <x:c r="I180" s="44" t="n">
        <x:v>14</x:v>
      </x:c>
      <x:c r="J180" s="44" t="n">
        <x:v>14</x:v>
      </x:c>
      <x:c r="K180" s="44" t="str">
        <x:v>H08, H09, H10, O02, PR-E08, PR-L03, PR-L04, PR-L05, PR-N04, PR-N05, PR-N11, PR-N13, Y03, Y04</x:v>
      </x:c>
      <x:c r="L180" s="44"/>
      <x:c r="M180" s="44" t="str">
        <x:v>Use only at the listed supplied-stock strength.</x:v>
      </x:c>
      <x:c r="N180" s="44" t="str">
        <x:v>Canonical Neroli stock.</x:v>
      </x:c>
    </x:row>
    <x:row r="181" ht="46" customHeight="1">
      <x:c r="A181" s="44"/>
      <x:c r="B181" s="44" t="str">
        <x:v>Nerolidol</x:v>
      </x:c>
      <x:c r="C181" s="44" t="str">
        <x:v>HAVE — NEAT</x:v>
      </x:c>
      <x:c r="D181" s="44" t="str">
        <x:v>Nerolidol neat/as supplied</x:v>
      </x:c>
      <x:c r="E181" s="44"/>
      <x:c r="F181" s="44" t="str">
        <x:v>Floral / woody</x:v>
      </x:c>
      <x:c r="G181" s="44"/>
      <x:c r="H181" s="46"/>
      <x:c r="I181" s="44" t="n">
        <x:v>0</x:v>
      </x:c>
      <x:c r="J181" s="44" t="n">
        <x:v>0</x:v>
      </x:c>
      <x:c r="K181" s="44"/>
      <x:c r="L181" s="44"/>
      <x:c r="M181" s="44" t="str">
        <x:v>Use only with exact label/stock-strength accounting.</x:v>
      </x:c>
      <x:c r="N181" s="44" t="str">
        <x:v>User confirmed ownership on 2026-08-07.</x:v>
      </x:c>
    </x:row>
    <x:row r="182" ht="46" customHeight="1">
      <x:c r="A182" s="44"/>
      <x:c r="B182" s="44" t="str">
        <x:v>Nerolin Bromelia</x:v>
      </x:c>
      <x:c r="C182" s="44" t="str">
        <x:v>HAVE</x:v>
      </x:c>
      <x:c r="D182" s="44" t="str">
        <x:v>as supplied; CAS 93-18-5</x:v>
      </x:c>
      <x:c r="E182" s="44"/>
      <x:c r="F182" s="44" t="str">
        <x:v>Orange blossom / floral</x:v>
      </x:c>
      <x:c r="G182" s="44"/>
      <x:c r="H182" s="46"/>
      <x:c r="I182" s="44" t="n">
        <x:v>0</x:v>
      </x:c>
      <x:c r="J182" s="44" t="n">
        <x:v>0</x:v>
      </x:c>
      <x:c r="K182" s="44"/>
      <x:c r="L182" s="44"/>
      <x:c r="M182" s="44" t="str">
        <x:v>Use only with exact label/stock-strength accounting.</x:v>
      </x:c>
      <x:c r="N182" s="44" t="str">
        <x:v>2-ethoxynaphthalene; verify physical form and label.</x:v>
      </x:c>
    </x:row>
    <x:row r="183" ht="46" customHeight="1">
      <x:c r="A183" s="44" t="n">
        <x:v>152</x:v>
      </x:c>
      <x:c r="B183" s="44" t="str">
        <x:v>Norlimbanol Dextro 10%</x:v>
      </x:c>
      <x:c r="C183" s="44" t="str">
        <x:v>HAVE</x:v>
      </x:c>
      <x:c r="D183" s="44" t="str">
        <x:v>10% in DEP</x:v>
      </x:c>
      <x:c r="E183" s="44"/>
      <x:c r="F183" s="44" t="str">
        <x:v>Woods / amber</x:v>
      </x:c>
      <x:c r="G183" s="44" t="str">
        <x:v>10% in DEP</x:v>
      </x:c>
      <x:c r="H183" s="46" t="n">
        <x:v>0.1</x:v>
      </x:c>
      <x:c r="I183" s="44" t="n">
        <x:v>49</x:v>
      </x:c>
      <x:c r="J183" s="44" t="n">
        <x:v>49</x:v>
      </x:c>
      <x:c r="K183" s="44" t="str">
        <x:v>AM-E01, AM-E02, AM-E03, AM-E04, AM-E05, AM-E06, AM-E07, AM-E08, AM-E09, AM-E10, AM-E11, AM-E12, AM-E13, AM-E14, AM-E15, AM-E16, AM-L01, AM-L02, AM-L03, AM-L04, AM-L05, AM-L06, AM-L07, AM-L08, AM-L09, AM-N01, AM-N02, AM-N03, AM-N04, AM-N05, AM-N06, AM-N07, AM-N08, AM-N09, AM-N10, AM-N11, AM-N12, AM-N13, AM-N14, AM-N15, AM-N16, C07, C08, PR-E03, PR-E06, PR-N01, PR-N06, PR-N09, Y01</x:v>
      </x:c>
      <x:c r="L183" s="44"/>
      <x:c r="M183" s="44" t="str">
        <x:v>Use only at the listed supplied-stock strength.</x:v>
      </x:c>
      <x:c r="N183" s="44" t="str">
        <x:v>Unchanged from prior register.</x:v>
      </x:c>
    </x:row>
    <x:row r="184" ht="46" customHeight="1">
      <x:c r="A184" s="44" t="n">
        <x:v>153</x:v>
      </x:c>
      <x:c r="B184" s="44" t="str">
        <x:v>Nutmeg EO</x:v>
      </x:c>
      <x:c r="C184" s="44" t="str">
        <x:v>GAP</x:v>
      </x:c>
      <x:c r="D184" s="44"/>
      <x:c r="E184" s="44"/>
      <x:c r="F184" s="44" t="str">
        <x:v>Spice</x:v>
      </x:c>
      <x:c r="G184" s="44" t="str">
        <x:v>neat</x:v>
      </x:c>
      <x:c r="H184" s="46" t="n">
        <x:v>1</x:v>
      </x:c>
      <x:c r="I184" s="44" t="n">
        <x:v>44</x:v>
      </x:c>
      <x:c r="J184" s="44" t="n">
        <x:v>44</x:v>
      </x:c>
      <x:c r="K184" s="44" t="str">
        <x:v>AM-E01, AM-E02, AM-E03, AM-E04, AM-E05, AM-E06, AM-E07, AM-E08, AM-E09, AM-E10, AM-E11, AM-E12, AM-E13, AM-E14, AM-E15, AM-E16, AM-L01, AM-L02, AM-L03, AM-L04, AM-L05, AM-L06, AM-L07, AM-L08, AM-L09, AM-N01, AM-N02, AM-N03, AM-N04, AM-N05, AM-N06, AM-N07, AM-N08, AM-N09, AM-N10, AM-N11, AM-N12, AM-N13, AM-N14, AM-N15, AM-N16, PR-N12, Y01, Y08</x:v>
      </x:c>
      <x:c r="L184" s="44"/>
      <x:c r="M184" s="44" t="str">
        <x:v>Use only at the listed supplied-stock strength.</x:v>
      </x:c>
      <x:c r="N184" s="44" t="str">
        <x:v>No Nutmeg EO yet.</x:v>
      </x:c>
    </x:row>
    <x:row r="185" ht="46" customHeight="1">
      <x:c r="A185" s="44" t="n">
        <x:v>154</x:v>
      </x:c>
      <x:c r="B185" s="44" t="str">
        <x:v>Nympheal</x:v>
      </x:c>
      <x:c r="C185" s="44" t="str">
        <x:v>HAVE</x:v>
      </x:c>
      <x:c r="D185" s="44" t="str">
        <x:v>as supplied; product basis</x:v>
      </x:c>
      <x:c r="E185" s="44"/>
      <x:c r="F185" s="44" t="str">
        <x:v>air_floral</x:v>
      </x:c>
      <x:c r="G185" s="44" t="str">
        <x:v>as supplied; product basis</x:v>
      </x:c>
      <x:c r="H185" s="46" t="n">
        <x:v>1</x:v>
      </x:c>
      <x:c r="I185" s="44" t="n">
        <x:v>78</x:v>
      </x:c>
      <x:c r="J185" s="44" t="n">
        <x:v>78</x:v>
      </x:c>
      <x:c r="K185" s="44" t="str">
        <x:v>AM-E01, AM-E02, AM-E03, AM-E04, AM-E05, AM-E06, AM-E07, AM-E08, AM-E09, AM-E10, AM-E11, AM-E12, AM-E13, AM-E14, AM-E15, AM-L01, AM-L02, AM-L03, AM-L04, AM-L05, AM-L06, AM-L07, AM-L08, AM-L09, AM-N01, AM-N02, AM-N03, AM-N04, AM-N05, AM-N06, AM-N07, AM-N08, AM-N09, AM-N11, AM-N12, AM-N13, AM-N14, AM-N15, AM-N16, C02, C03, C04, C05, C06, C07, H01, H02, H03, H04, H05, H06, H07, H09, H10, H11, H12, O01, O02, O03, O05, O06, PR-E01, PR-E02, PR-E04, PR-E07, PR-L03, PR-L05, PR-N01, PR-N03, PR-N04, S07, Y01, Y03, Y04, Y05, Y06, Y12, Y14</x:v>
      </x:c>
      <x:c r="L185" s="44"/>
      <x:c r="M185" s="44" t="str">
        <x:v>Use only at the listed supplied-stock strength.</x:v>
      </x:c>
      <x:c r="N185" s="44" t="str">
        <x:v>Unchanged from prior register.</x:v>
      </x:c>
    </x:row>
    <x:row r="186" ht="46" customHeight="1">
      <x:c r="A186" s="44" t="n">
        <x:v>155</x:v>
      </x:c>
      <x:c r="B186" s="44" t="str">
        <x:v>Oakmoss Absolute 10%</x:v>
      </x:c>
      <x:c r="C186" s="44" t="str">
        <x:v>HAVE</x:v>
      </x:c>
      <x:c r="D186" s="44" t="str">
        <x:v>10% working stock</x:v>
      </x:c>
      <x:c r="E186" s="44"/>
      <x:c r="F186" s="44" t="str">
        <x:v>resin_incense</x:v>
      </x:c>
      <x:c r="G186" s="44" t="str">
        <x:v>10% working stock</x:v>
      </x:c>
      <x:c r="H186" s="46" t="n">
        <x:v>0.1</x:v>
      </x:c>
      <x:c r="I186" s="44" t="n">
        <x:v>5</x:v>
      </x:c>
      <x:c r="J186" s="44" t="n">
        <x:v>5</x:v>
      </x:c>
      <x:c r="K186" s="44" t="str">
        <x:v>AM-E05, AM-L05, AM-N05, C08, O06</x:v>
      </x:c>
      <x:c r="L186" s="44"/>
      <x:c r="M186" s="44" t="str">
        <x:v>Use only at the listed supplied-stock strength.</x:v>
      </x:c>
      <x:c r="N186" s="44" t="str">
        <x:v>Unchanged from prior register.</x:v>
      </x:c>
    </x:row>
    <x:row r="187" ht="46" customHeight="1">
      <x:c r="A187" s="44" t="n">
        <x:v>156</x:v>
      </x:c>
      <x:c r="B187" s="44" t="str">
        <x:v>Oakwood CO2 10%</x:v>
      </x:c>
      <x:c r="C187" s="44" t="str">
        <x:v>GAP</x:v>
      </x:c>
      <x:c r="D187" s="44"/>
      <x:c r="E187" s="44"/>
      <x:c r="F187" s="44" t="str">
        <x:v>Woods / amber</x:v>
      </x:c>
      <x:c r="G187" s="44" t="str">
        <x:v>10% target-required working dilution</x:v>
      </x:c>
      <x:c r="H187" s="46" t="n">
        <x:v>0.1</x:v>
      </x:c>
      <x:c r="I187" s="44" t="n">
        <x:v>4</x:v>
      </x:c>
      <x:c r="J187" s="44" t="n">
        <x:v>4</x:v>
      </x:c>
      <x:c r="K187" s="44" t="str">
        <x:v>AM-N09, AM-N10, AM-N15, PR-E07</x:v>
      </x:c>
      <x:c r="L187" s="44"/>
      <x:c r="M187" s="44" t="str">
        <x:v>Do not substitute silently; target-required material is not in stock.</x:v>
      </x:c>
      <x:c r="N187" s="44" t="str">
        <x:v>No Oakwood CO2.</x:v>
      </x:c>
    </x:row>
    <x:row r="188" ht="46" customHeight="1">
      <x:c r="A188" s="44" t="n">
        <x:v>157</x:v>
      </x:c>
      <x:c r="B188" s="44" t="str">
        <x:v>Olibanum 50%</x:v>
      </x:c>
      <x:c r="C188" s="44" t="str">
        <x:v>HAVE</x:v>
      </x:c>
      <x:c r="D188" s="44" t="str">
        <x:v>50% in DPG</x:v>
      </x:c>
      <x:c r="E188" s="44"/>
      <x:c r="F188" s="44" t="str">
        <x:v>Resin / incense</x:v>
      </x:c>
      <x:c r="G188" s="44" t="str">
        <x:v>50% in DPG</x:v>
      </x:c>
      <x:c r="H188" s="46" t="n">
        <x:v>0.5</x:v>
      </x:c>
      <x:c r="I188" s="44" t="n">
        <x:v>73</x:v>
      </x:c>
      <x:c r="J188" s="44" t="n">
        <x:v>73</x:v>
      </x:c>
      <x:c r="K188" s="44" t="str">
        <x:v>AM-E01, AM-E02, AM-E03, AM-E04, AM-E05, AM-E06, AM-E07, AM-E08, AM-E09, AM-E10, AM-E11, AM-E12, AM-E13, AM-E14, AM-E15, AM-E16, AM-L01, AM-L02, AM-L03, AM-L04, AM-L05, AM-L06, AM-L07, AM-L08, AM-L09, AM-N01, AM-N02, AM-N03, AM-N04, AM-N05, AM-N06, AM-N07, AM-N08, AM-N09, AM-N10, AM-N11, AM-N12, AM-N13, AM-N14, AM-N15, AM-N16, C07, C08, H01, H02, H03, H08, H11, H14, H15, O04, O05, PR-E04, PR-E06, PR-E07, PR-E08, PR-E09, PR-L03, PR-N05, PR-N06, PR-N07, PR-N09, PR-N10, PR-N13, S01, S02, S04, S07, S08, Y01, Y08, Y09, Y11</x:v>
      </x:c>
      <x:c r="L188" s="44"/>
      <x:c r="M188" s="44" t="str">
        <x:v>Use only at the listed supplied-stock strength.</x:v>
      </x:c>
      <x:c r="N188" s="44" t="str">
        <x:v>Unchanged from prior register.</x:v>
      </x:c>
    </x:row>
    <x:row r="189" ht="46" customHeight="1">
      <x:c r="A189" s="44" t="n">
        <x:v>158</x:v>
      </x:c>
      <x:c r="B189" s="44" t="str">
        <x:v>Opoponax Resinoid 50%</x:v>
      </x:c>
      <x:c r="C189" s="44" t="str">
        <x:v>HAVE</x:v>
      </x:c>
      <x:c r="D189" s="44" t="str">
        <x:v>Opoponax Resinoid 50% in DPG</x:v>
      </x:c>
      <x:c r="E189" s="44"/>
      <x:c r="F189" s="44" t="str">
        <x:v>Resin / incense</x:v>
      </x:c>
      <x:c r="G189" s="44" t="str">
        <x:v>50% target-required working dilution</x:v>
      </x:c>
      <x:c r="H189" s="46" t="n">
        <x:v>0.5</x:v>
      </x:c>
      <x:c r="I189" s="44" t="n">
        <x:v>1</x:v>
      </x:c>
      <x:c r="J189" s="44" t="n">
        <x:v>1</x:v>
      </x:c>
      <x:c r="K189" s="44" t="str">
        <x:v>AM-N15</x:v>
      </x:c>
      <x:c r="L189" s="44"/>
      <x:c r="M189" s="44" t="str">
        <x:v>Do not substitute silently; target-required material is not in stock.</x:v>
      </x:c>
      <x:c r="N189" s="44" t="str">
        <x:v>User confirms the listed 50% DPG stock.</x:v>
      </x:c>
    </x:row>
    <x:row r="190" ht="52" customHeight="1">
      <x:c r="A190" s="44" t="n">
        <x:v>159</x:v>
      </x:c>
      <x:c r="B190" s="44" t="str">
        <x:v>Orange Blossom Absolute 10%</x:v>
      </x:c>
      <x:c r="C190" s="44" t="str">
        <x:v>CONSTRUCTIBLE FUNCTIONAL ACCORD — NOT ABSOLUTE</x:v>
      </x:c>
      <x:c r="D190" s="44" t="str">
        <x:v>Orange Blossom Accord v0.1 can be built from Neroli EO 10%, Nerol, Nerolidol, Oranger Crystals 10%, Methyl Anthranilate 10%, Aurantiol 10%, Hedione and supporting florals.</x:v>
      </x:c>
      <x:c r="E190" s="44" t="str">
        <x:v>Prepare from the Constructible Accords sheet.</x:v>
      </x:c>
      <x:c r="F190" s="44" t="str">
        <x:v>Air floral</x:v>
      </x:c>
      <x:c r="G190" s="44" t="str">
        <x:v>10% target-required working dilution</x:v>
      </x:c>
      <x:c r="H190" s="46" t="n">
        <x:v>0.1</x:v>
      </x:c>
      <x:c r="I190" s="44" t="n">
        <x:v>3</x:v>
      </x:c>
      <x:c r="J190" s="44" t="n">
        <x:v>3</x:v>
      </x:c>
      <x:c r="K190" s="44" t="str">
        <x:v>AM-N15, Y03, Y04</x:v>
      </x:c>
      <x:c r="L190" s="44" t="str">
        <x:v>A reconstructed accord is not solvent-extracted Orange Blossom Absolute.</x:v>
      </x:c>
      <x:c r="M190" s="44" t="str">
        <x:v>Use as a disclosed functional accord only; retain an absolute-specific hold where the natural extract is critical.</x:v>
      </x:c>
      <x:c r="N190" s="44" t="str">
        <x:v>User owns the key orange-blossom materials.</x:v>
      </x:c>
    </x:row>
    <x:row r="191" ht="46" customHeight="1">
      <x:c r="A191" s="44"/>
      <x:c r="B191" s="44" t="str">
        <x:v>Orange Peel EO</x:v>
      </x:c>
      <x:c r="C191" s="44" t="str">
        <x:v>HAVE — NEAT / LOT DETAIL OPEN</x:v>
      </x:c>
      <x:c r="D191" s="44" t="str">
        <x:v>Orange Peel EO neat/as supplied; botanical/lot details not yet recorded</x:v>
      </x:c>
      <x:c r="E191" s="44"/>
      <x:c r="F191" s="44" t="str">
        <x:v>Citrus top</x:v>
      </x:c>
      <x:c r="G191" s="44"/>
      <x:c r="H191" s="46"/>
      <x:c r="I191" s="44" t="n">
        <x:v>0</x:v>
      </x:c>
      <x:c r="J191" s="44" t="n">
        <x:v>0</x:v>
      </x:c>
      <x:c r="K191" s="44"/>
      <x:c r="L191" s="44"/>
      <x:c r="M191" s="44" t="str">
        <x:v>Use only with exact label/stock-strength accounting.</x:v>
      </x:c>
      <x:c r="N191" s="44" t="str">
        <x:v>User confirmed ownership on 2026-08-07.</x:v>
      </x:c>
    </x:row>
    <x:row r="192" ht="46" customHeight="1">
      <x:c r="A192" s="44"/>
      <x:c r="B192" s="44" t="str">
        <x:v>Oranger Crystals 10%</x:v>
      </x:c>
      <x:c r="C192" s="44" t="str">
        <x:v>HAVE — 10% IN DPG</x:v>
      </x:c>
      <x:c r="D192" s="44" t="str">
        <x:v>Oranger Crystals 10% in DPG; active fraction 0.10; CAS 93-08-3</x:v>
      </x:c>
      <x:c r="E192" s="44"/>
      <x:c r="F192" s="44" t="str">
        <x:v>Orange blossom / floral</x:v>
      </x:c>
      <x:c r="G192" s="44"/>
      <x:c r="H192" s="46" t="n">
        <x:v>0.1</x:v>
      </x:c>
      <x:c r="I192" s="44" t="n">
        <x:v>0</x:v>
      </x:c>
      <x:c r="J192" s="44" t="n">
        <x:v>0</x:v>
      </x:c>
      <x:c r="K192" s="44"/>
      <x:c r="L192" s="44" t="str">
        <x:v>Defined dilution of Oranger Crystals, not a proprietary base.</x:v>
      </x:c>
      <x:c r="M192" s="44" t="str">
        <x:v>Use as the exact 10% in DPG stock.</x:v>
      </x:c>
      <x:c r="N192" s="44" t="str">
        <x:v>PerfumersWorld product identity and dilution resolved.</x:v>
      </x:c>
    </x:row>
    <x:row r="193" ht="46" customHeight="1">
      <x:c r="A193" s="44" t="n">
        <x:v>160</x:v>
      </x:c>
      <x:c r="B193" s="44" t="str">
        <x:v>Oregano EO 10%</x:v>
      </x:c>
      <x:c r="C193" s="44" t="str">
        <x:v>GAP</x:v>
      </x:c>
      <x:c r="D193" s="44"/>
      <x:c r="E193" s="44"/>
      <x:c r="F193" s="44" t="str">
        <x:v>Aromatic top</x:v>
      </x:c>
      <x:c r="G193" s="44" t="str">
        <x:v>10% target-required working dilution</x:v>
      </x:c>
      <x:c r="H193" s="46" t="n">
        <x:v>0.1</x:v>
      </x:c>
      <x:c r="I193" s="44" t="n">
        <x:v>1</x:v>
      </x:c>
      <x:c r="J193" s="44" t="n">
        <x:v>1</x:v>
      </x:c>
      <x:c r="K193" s="44" t="str">
        <x:v>AM-E03</x:v>
      </x:c>
      <x:c r="L193" s="44"/>
      <x:c r="M193" s="44" t="str">
        <x:v>Do not substitute silently; target-required material is not in stock.</x:v>
      </x:c>
      <x:c r="N193" s="44" t="str">
        <x:v>Unchanged from prior register.</x:v>
      </x:c>
    </x:row>
    <x:row r="194" ht="46" customHeight="1">
      <x:c r="A194" s="44" t="n">
        <x:v>161</x:v>
      </x:c>
      <x:c r="B194" s="44" t="str">
        <x:v>Orivone</x:v>
      </x:c>
      <x:c r="C194" s="44" t="str">
        <x:v>HAVE</x:v>
      </x:c>
      <x:c r="D194" s="44" t="str">
        <x:v>neat</x:v>
      </x:c>
      <x:c r="E194" s="44"/>
      <x:c r="F194" s="44" t="str">
        <x:v>Iris / violet</x:v>
      </x:c>
      <x:c r="G194" s="44" t="str">
        <x:v>neat</x:v>
      </x:c>
      <x:c r="H194" s="46" t="n">
        <x:v>1</x:v>
      </x:c>
      <x:c r="I194" s="44" t="n">
        <x:v>41</x:v>
      </x:c>
      <x:c r="J194" s="44" t="n">
        <x:v>41</x:v>
      </x:c>
      <x:c r="K194" s="44" t="str">
        <x:v>AM-E01, AM-E02, AM-E05, AM-E06, AM-E08, AM-E09, AM-E10, AM-L04, AM-L07, AM-L08, AM-L09, AM-N01, AM-N04, AM-N05, AM-N06, AM-N12, AM-N13, AM-N16, H01, H02, H04, H05, H06, H07, H08, H10, H12, O01, O02, O04, O05, PR-E02, PR-L03, PR-L04, PR-L05, PR-N02, PR-N03, PR-N04, PR-N11, Y09, Y11</x:v>
      </x:c>
      <x:c r="L194" s="44"/>
      <x:c r="M194" s="44" t="str">
        <x:v>Use only at the listed supplied-stock strength.</x:v>
      </x:c>
      <x:c r="N194" s="44" t="str">
        <x:v>Unchanged from prior register.</x:v>
      </x:c>
    </x:row>
    <x:row r="195" ht="46" customHeight="1">
      <x:c r="A195" s="44" t="n">
        <x:v>162</x:v>
      </x:c>
      <x:c r="B195" s="44" t="str">
        <x:v>Orris Liquid — PerfumersWorld product basis</x:v>
      </x:c>
      <x:c r="C195" s="44" t="str">
        <x:v>HAVE — PRODUCT BASIS</x:v>
      </x:c>
      <x:c r="D195" s="44" t="str">
        <x:v>PerfumersWorld Orris Liquid, as supplied; proprietary/product composition not converted to a single active fraction</x:v>
      </x:c>
      <x:c r="E195" s="44"/>
      <x:c r="F195" s="44" t="str">
        <x:v>orris_violet</x:v>
      </x:c>
      <x:c r="G195" s="44" t="str">
        <x:v>Prior register called it 30% product stock</x:v>
      </x:c>
      <x:c r="H195" s="46"/>
      <x:c r="I195" s="44" t="n">
        <x:v>33</x:v>
      </x:c>
      <x:c r="J195" s="44" t="n">
        <x:v>33</x:v>
      </x:c>
      <x:c r="K195" s="44" t="str">
        <x:v>AM-E01, AM-E02, AM-E09, AM-E10, AM-L04, AM-L07, AM-L08, AM-L09, AM-N01, AM-N05, AM-N12, AM-N16, H01, H02, H04, H05, H06, H07, H08, H10, H12, O01, O02, O04, PR-E02, PR-E05, PR-L03, PR-L04, PR-N02, PR-N04, PR-N11, Y09, Y11</x:v>
      </x:c>
      <x:c r="L195" s="44" t="str">
        <x:v>Not equivalent to Orris Butter 30%, irone, ionone, or an undisclosed F-TEC.</x:v>
      </x:c>
      <x:c r="M195" s="44" t="str">
        <x:v>Use only as a named product-basis material. Do not calculate active-equivalent concentration from a guessed 30%.</x:v>
      </x:c>
      <x:c r="N195" s="44" t="str">
        <x:v>Resolved as PerfumersWorld Orris Liquid; composition remains product-basis by design.</x:v>
      </x:c>
    </x:row>
    <x:row r="196" ht="46" customHeight="1">
      <x:c r="A196" s="44" t="n">
        <x:v>163</x:v>
      </x:c>
      <x:c r="B196" s="44" t="str">
        <x:v>Osmanthus Absolute 10%</x:v>
      </x:c>
      <x:c r="C196" s="44" t="str">
        <x:v>HAVE — TWO PRODUCTS</x:v>
      </x:c>
      <x:c r="D196" s="44" t="str">
        <x:v>Osmanthus Absolute 10% plus Osmanthus EO volume-grade product</x:v>
      </x:c>
      <x:c r="E196" s="44"/>
      <x:c r="F196" s="44" t="str">
        <x:v>Air floral</x:v>
      </x:c>
      <x:c r="G196" s="44" t="str">
        <x:v>10% target-required working dilution</x:v>
      </x:c>
      <x:c r="H196" s="46" t="n">
        <x:v>0.1</x:v>
      </x:c>
      <x:c r="I196" s="44" t="n">
        <x:v>1</x:v>
      </x:c>
      <x:c r="J196" s="44" t="n">
        <x:v>1</x:v>
      </x:c>
      <x:c r="K196" s="44" t="str">
        <x:v>AM-N13</x:v>
      </x:c>
      <x:c r="L196" s="44"/>
      <x:c r="M196" s="44" t="str">
        <x:v>Treat volume-grade EO as product basis unless composition is disclosed.</x:v>
      </x:c>
      <x:c r="N196" s="44" t="str">
        <x:v>Both stocks are available.</x:v>
      </x:c>
    </x:row>
    <x:row r="197" ht="52" customHeight="1">
      <x:c r="A197" s="44" t="n">
        <x:v>164</x:v>
      </x:c>
      <x:c r="B197" s="44" t="str">
        <x:v>Papyrus / Cypriol EO</x:v>
      </x:c>
      <x:c r="C197" s="44" t="str">
        <x:v>HAVE — CYPRIOL VIA NAGARMOTHA; PAPYRUS UNCONFIRMED</x:v>
      </x:c>
      <x:c r="D197" s="44" t="str">
        <x:v>Nagarmotha Oil neat; Black Agarwood Synthetic 10% in DPG is separate</x:v>
      </x:c>
      <x:c r="E197" s="44"/>
      <x:c r="F197" s="44" t="str">
        <x:v>Woods / amber</x:v>
      </x:c>
      <x:c r="G197" s="44" t="str">
        <x:v>target-required authentic material</x:v>
      </x:c>
      <x:c r="H197" s="46" t="n">
        <x:v>1</x:v>
      </x:c>
      <x:c r="I197" s="44" t="n">
        <x:v>5</x:v>
      </x:c>
      <x:c r="J197" s="44" t="n">
        <x:v>5</x:v>
      </x:c>
      <x:c r="K197" s="44" t="str">
        <x:v>AM-E12, AM-N03, AM-N08, AM-N16, PR-N14</x:v>
      </x:c>
      <x:c r="L197" s="44" t="str">
        <x:v>Nagarmotha Oil maps to Cypriol (Cyperus scariosus), not to papyrus. Black Agarwood Synthetic is not a cypriol substitute.</x:v>
      </x:c>
      <x:c r="M197" s="44" t="str">
        <x:v>Use Nagarmotha where the source calls for cypriol/nagarmotha. Hold targets that specifically require papyrus rather than cypriol.</x:v>
      </x:c>
      <x:c r="N197" s="44" t="str">
        <x:v>User owns Nagarmotha Oil and Black Agarwood Synthetic 10%.</x:v>
      </x:c>
    </x:row>
    <x:row r="198" ht="46" customHeight="1">
      <x:c r="A198" s="44" t="n">
        <x:v>165</x:v>
      </x:c>
      <x:c r="B198" s="44" t="str">
        <x:v>Patchouli EO</x:v>
      </x:c>
      <x:c r="C198" s="44" t="str">
        <x:v>HAVE</x:v>
      </x:c>
      <x:c r="D198" s="44" t="str">
        <x:v>neat / as supplied</x:v>
      </x:c>
      <x:c r="E198" s="44"/>
      <x:c r="F198" s="44" t="str">
        <x:v>woods_amber</x:v>
      </x:c>
      <x:c r="G198" s="44" t="str">
        <x:v>neat / as supplied</x:v>
      </x:c>
      <x:c r="H198" s="46" t="n">
        <x:v>1</x:v>
      </x:c>
      <x:c r="I198" s="44" t="n">
        <x:v>78</x:v>
      </x:c>
      <x:c r="J198" s="44" t="n">
        <x:v>78</x:v>
      </x:c>
      <x:c r="K198" s="44" t="str">
        <x:v>AM-E01, AM-E02, AM-E03, AM-E04, AM-E05, AM-E06, AM-E07, AM-E08, AM-E09, AM-E10, AM-E11, AM-E12, AM-E13, AM-E14, AM-E15, AM-E16, AM-L01, AM-L02, AM-L03, AM-L04, AM-L05, AM-L06, AM-L07, AM-L08, AM-L09, AM-N01, AM-N02, AM-N03, AM-N04, AM-N05, AM-N06, AM-N07, AM-N08, AM-N09, AM-N10, AM-N11, AM-N12, AM-N13, AM-N14, AM-N15, AM-N16, C01, C07, C08, H01, H03, H04, H05, H06, H07, H08, O04, O05, PR-E01, PR-E02, PR-E04, PR-E05, PR-E07, PR-E08, PR-E09, PR-L01, PR-L04, PR-N02, PR-N05, PR-N06, PR-N07, S01, S02, S03, S04, S05, S06, S08, Y01, Y07, Y08, Y09, Y11</x:v>
      </x:c>
      <x:c r="L198" s="44"/>
      <x:c r="M198" s="44" t="str">
        <x:v>Use only at the listed supplied-stock strength.</x:v>
      </x:c>
      <x:c r="N198" s="44" t="str">
        <x:v>Unchanged from prior register.</x:v>
      </x:c>
    </x:row>
    <x:row r="199" ht="52" customHeight="1">
      <x:c r="A199" s="44" t="n">
        <x:v>166</x:v>
      </x:c>
      <x:c r="B199" s="44" t="str">
        <x:v>Pear Accord 10%</x:v>
      </x:c>
      <x:c r="C199" s="44" t="str">
        <x:v>CONSTRUCTIBLE ACCORD — NOT YET MIXED</x:v>
      </x:c>
      <x:c r="D199" s="44" t="str">
        <x:v>Green Pear Accord v0.1 can be built from Hexyl Acetate, Verdox, Verdyl Acetate, AAG 10%, Melonal 1%, Benzyl Acetate, Gamma Undecalactone and supporting traces.</x:v>
      </x:c>
      <x:c r="E199" s="44" t="str">
        <x:v>Prepare from the Constructible Accords sheet.</x:v>
      </x:c>
      <x:c r="F199" s="44" t="str">
        <x:v>Green fruit</x:v>
      </x:c>
      <x:c r="G199" s="44" t="str">
        <x:v>10% target-required accord</x:v>
      </x:c>
      <x:c r="H199" s="46" t="n">
        <x:v>0.1</x:v>
      </x:c>
      <x:c r="I199" s="44" t="n">
        <x:v>1</x:v>
      </x:c>
      <x:c r="J199" s="44" t="n">
        <x:v>1</x:v>
      </x:c>
      <x:c r="K199" s="44" t="str">
        <x:v>AM-N13</x:v>
      </x:c>
      <x:c r="L199" s="44" t="str">
        <x:v>This is a functional green-pear accord, not a disclosed proprietary pear base.</x:v>
      </x:c>
      <x:c r="M199" s="44" t="str">
        <x:v>Use only after standalone accord testing and target-specific comparison.</x:v>
      </x:c>
      <x:c r="N199" s="44" t="str">
        <x:v>User has the required building blocks.</x:v>
      </x:c>
    </x:row>
    <x:row r="200" ht="46" customHeight="1">
      <x:c r="A200" s="44"/>
      <x:c r="B200" s="44" t="str">
        <x:v>Peppermint EO</x:v>
      </x:c>
      <x:c r="C200" s="44" t="str">
        <x:v>HAVE</x:v>
      </x:c>
      <x:c r="D200" s="44" t="str">
        <x:v>neat/as supplied</x:v>
      </x:c>
      <x:c r="E200" s="44"/>
      <x:c r="F200" s="44" t="str">
        <x:v>Mint / aromatic</x:v>
      </x:c>
      <x:c r="G200" s="44"/>
      <x:c r="H200" s="46"/>
      <x:c r="I200" s="44" t="n">
        <x:v>0</x:v>
      </x:c>
      <x:c r="J200" s="44" t="n">
        <x:v>0</x:v>
      </x:c>
      <x:c r="K200" s="44"/>
      <x:c r="L200" s="44"/>
      <x:c r="M200" s="44" t="str">
        <x:v>Use only with exact label/stock-strength accounting.</x:v>
      </x:c>
      <x:c r="N200" s="44" t="str">
        <x:v>Not Spearmint EO.</x:v>
      </x:c>
    </x:row>
    <x:row r="201" ht="46" customHeight="1">
      <x:c r="A201" s="44" t="n">
        <x:v>167</x:v>
      </x:c>
      <x:c r="B201" s="44" t="str">
        <x:v>Peru Balsam 10%</x:v>
      </x:c>
      <x:c r="C201" s="44" t="str">
        <x:v>HAVE — 50% W/W / CARRIER UNSTATED</x:v>
      </x:c>
      <x:c r="D201" s="44" t="str">
        <x:v>Peru Balsam Resinoid 50% w/w; carrier not stated</x:v>
      </x:c>
      <x:c r="E201" s="44" t="str">
        <x:v>Prepare 10% only after carrier identity is recorded.</x:v>
      </x:c>
      <x:c r="F201" s="44" t="str">
        <x:v>Sweet / balsamic</x:v>
      </x:c>
      <x:c r="G201" s="44" t="str">
        <x:v>10% in DPG</x:v>
      </x:c>
      <x:c r="H201" s="46" t="n">
        <x:v>0.1</x:v>
      </x:c>
      <x:c r="I201" s="44" t="n">
        <x:v>43</x:v>
      </x:c>
      <x:c r="J201" s="44" t="n">
        <x:v>43</x:v>
      </x:c>
      <x:c r="K201" s="44" t="str">
        <x:v>AM-E02, AM-E03, AM-E04, AM-E05, AM-E06, AM-E07, AM-E08, AM-E10, AM-E11, AM-E12, AM-E13, AM-E14, AM-E15, AM-E16, AM-L02, AM-L03, AM-L04, AM-L05, AM-L06, AM-L08, AM-L09, AM-N01, AM-N02, AM-N04, AM-N05, AM-N06, AM-N08, AM-N09, AM-N10, AM-N11, AM-N12, AM-N14, AM-N15, AM-N16, C08, PR-E05, PR-E08, PR-E09, PR-N05, PR-N06, PR-N07, PR-N09, PR-N13</x:v>
      </x:c>
      <x:c r="L201" s="44"/>
      <x:c r="M201" s="44" t="str">
        <x:v>Recalculate all formula rows written for 10% stock; do not assume the 50% carrier.</x:v>
      </x:c>
      <x:c r="N201" s="44" t="str">
        <x:v>User confirmed ownership on 2026-08-07.</x:v>
      </x:c>
    </x:row>
    <x:row r="202" ht="46" customHeight="1">
      <x:c r="A202" s="44" t="n">
        <x:v>168</x:v>
      </x:c>
      <x:c r="B202" s="44" t="str">
        <x:v>Petitgrain EO</x:v>
      </x:c>
      <x:c r="C202" s="44" t="str">
        <x:v>GAP</x:v>
      </x:c>
      <x:c r="D202" s="44"/>
      <x:c r="E202" s="44"/>
      <x:c r="F202" s="44" t="str">
        <x:v>Aromatic / Citrus / Spice</x:v>
      </x:c>
      <x:c r="G202" s="44" t="str">
        <x:v>neat / as supplied</x:v>
      </x:c>
      <x:c r="H202" s="46" t="n">
        <x:v>1</x:v>
      </x:c>
      <x:c r="I202" s="44" t="n">
        <x:v>1</x:v>
      </x:c>
      <x:c r="J202" s="44" t="n">
        <x:v>1</x:v>
      </x:c>
      <x:c r="K202" s="44" t="str">
        <x:v>PR-E04</x:v>
      </x:c>
      <x:c r="L202" s="44"/>
      <x:c r="M202" s="44" t="str">
        <x:v>Use only at the listed supplied-stock strength.</x:v>
      </x:c>
      <x:c r="N202" s="44" t="str">
        <x:v>No generic Petitgrain EO.</x:v>
      </x:c>
    </x:row>
    <x:row r="203" ht="46" customHeight="1">
      <x:c r="A203" s="44" t="n">
        <x:v>169</x:v>
      </x:c>
      <x:c r="B203" s="44" t="str">
        <x:v>Petitgrain EO Paraguay</x:v>
      </x:c>
      <x:c r="C203" s="44" t="str">
        <x:v>HAVE</x:v>
      </x:c>
      <x:c r="D203" s="44" t="str">
        <x:v>neat / as supplied</x:v>
      </x:c>
      <x:c r="E203" s="44"/>
      <x:c r="F203" s="44" t="str">
        <x:v>citrus_top</x:v>
      </x:c>
      <x:c r="G203" s="44" t="str">
        <x:v>neat / as supplied</x:v>
      </x:c>
      <x:c r="H203" s="46" t="n">
        <x:v>1</x:v>
      </x:c>
      <x:c r="I203" s="44" t="n">
        <x:v>86</x:v>
      </x:c>
      <x:c r="J203" s="44" t="n">
        <x:v>86</x:v>
      </x:c>
      <x:c r="K203" s="44" t="str">
        <x:v>AM-E01, AM-E02, AM-E03, AM-E04, AM-E05, AM-E06, AM-E07, AM-E08, AM-E09, AM-E10, AM-E11, AM-E12, AM-E13, AM-E14, AM-E15, AM-E16, AM-L01, AM-L02, AM-L03, AM-L04, AM-L05, AM-L06, AM-L07, AM-L08, AM-L09, AM-N01, AM-N02, AM-N03, AM-N04, AM-N05, AM-N06, AM-N07, AM-N08, AM-N09, AM-N10, AM-N11, AM-N12, AM-N13, AM-N15, AM-N16, C01, C02, C03, C04, C05, C06, C07, C08, H01, H02, H03, H08, H09, H11, H12, H14, H15, O01, O05, O06, PR-E01, PR-E03, PR-E06, PR-E08, PR-E09, PR-L02, PR-L03, PR-L05, PR-N01, PR-N02, PR-N04, S01, S02, S03, S04, S05, S07, S08, Y01, Y02, Y03, Y04, Y05, Y06, Y07, Y08</x:v>
      </x:c>
      <x:c r="L203" s="44"/>
      <x:c r="M203" s="44" t="str">
        <x:v>Use only at the listed supplied-stock strength.</x:v>
      </x:c>
      <x:c r="N203" s="44" t="str">
        <x:v>Unchanged from prior register.</x:v>
      </x:c>
    </x:row>
    <x:row r="204" ht="46" customHeight="1">
      <x:c r="A204" s="44" t="n">
        <x:v>170</x:v>
      </x:c>
      <x:c r="B204" s="44" t="str">
        <x:v>Phenethyl Alcohol</x:v>
      </x:c>
      <x:c r="C204" s="44" t="str">
        <x:v>HAVE — NEAT</x:v>
      </x:c>
      <x:c r="D204" s="44" t="str">
        <x:v>Phenethyl Alcohol neat/as supplied</x:v>
      </x:c>
      <x:c r="E204" s="44"/>
      <x:c r="F204" s="44" t="str">
        <x:v>air_floral</x:v>
      </x:c>
      <x:c r="G204" s="44" t="str">
        <x:v>neat / as supplied</x:v>
      </x:c>
      <x:c r="H204" s="46" t="n">
        <x:v>1</x:v>
      </x:c>
      <x:c r="I204" s="44" t="n">
        <x:v>65</x:v>
      </x:c>
      <x:c r="J204" s="44" t="n">
        <x:v>65</x:v>
      </x:c>
      <x:c r="K204" s="44" t="str">
        <x:v>AM-E01, AM-E02, AM-E03, AM-E04, AM-E05, AM-E06, AM-E07, AM-E08, AM-E09, AM-E10, AM-E11, AM-E12, AM-E13, AM-E14, AM-E15, AM-L01, AM-L02, AM-L03, AM-L04, AM-L05, AM-L06, AM-L07, AM-L08, AM-L09, AM-N01, AM-N02, AM-N03, AM-N04, AM-N05, AM-N06, AM-N07, AM-N08, AM-N09, AM-N11, AM-N12, AM-N13, AM-N15, AM-N16, C01, C02, H01, H02, H03, H04, H05, H06, H07, H10, H11, H12, H13, H14, H15, O01, O02, O05, O06, PR-E09, S01, S02, S03, S07, Y03, Y04, Y06</x:v>
      </x:c>
      <x:c r="L204" s="44"/>
      <x:c r="M204" s="44" t="str">
        <x:v>Use only at the listed supplied-stock strength.</x:v>
      </x:c>
      <x:c r="N204" s="44" t="str">
        <x:v>User confirmed ownership on 2026-08-07.</x:v>
      </x:c>
    </x:row>
    <x:row r="205" ht="46" customHeight="1">
      <x:c r="A205" s="44"/>
      <x:c r="B205" s="44" t="str">
        <x:v>Phenylacetaldehyde Dimethyl Acetal (PADMA)</x:v>
      </x:c>
      <x:c r="C205" s="44" t="str">
        <x:v>HAVE — NEAT / AS SUPPLIED</x:v>
      </x:c>
      <x:c r="D205" s="44" t="str">
        <x:v>Phenylacetaldehyde Dimethyl Acetal (PADMA) neat/as supplied</x:v>
      </x:c>
      <x:c r="E205" s="44"/>
      <x:c r="F205" s="44" t="str">
        <x:v>Green floral / aldehydic</x:v>
      </x:c>
      <x:c r="G205" s="44"/>
      <x:c r="H205" s="46"/>
      <x:c r="I205" s="44" t="n">
        <x:v>0</x:v>
      </x:c>
      <x:c r="J205" s="44" t="n">
        <x:v>0</x:v>
      </x:c>
      <x:c r="K205" s="44"/>
      <x:c r="L205" s="44"/>
      <x:c r="M205" s="44" t="str">
        <x:v>Use only with exact label/stock-strength accounting.</x:v>
      </x:c>
      <x:c r="N205" s="44" t="str">
        <x:v>User confirmed ownership on 2026-08-07.</x:v>
      </x:c>
    </x:row>
    <x:row r="206" ht="46" customHeight="1">
      <x:c r="A206" s="44" t="n">
        <x:v>171</x:v>
      </x:c>
      <x:c r="B206" s="44" t="str">
        <x:v>Pine EO</x:v>
      </x:c>
      <x:c r="C206" s="44" t="str">
        <x:v>HAVE — NEAT / LOT DETAIL OPEN</x:v>
      </x:c>
      <x:c r="D206" s="44" t="str">
        <x:v>Pine EO neat/as supplied; botanical and lot details not yet recorded</x:v>
      </x:c>
      <x:c r="E206" s="44"/>
      <x:c r="F206" s="44" t="str">
        <x:v>aromatic_top</x:v>
      </x:c>
      <x:c r="G206" s="44" t="str">
        <x:v>neat / as supplied</x:v>
      </x:c>
      <x:c r="H206" s="46" t="n">
        <x:v>1</x:v>
      </x:c>
      <x:c r="I206" s="44" t="n">
        <x:v>61</x:v>
      </x:c>
      <x:c r="J206" s="44" t="n">
        <x:v>61</x:v>
      </x:c>
      <x:c r="K206" s="44" t="str">
        <x:v>AM-E01, AM-E02, AM-E03, AM-E04, AM-E05, AM-E06, AM-E07, AM-E08, AM-E09, AM-E10, AM-E11, AM-E12, AM-E13, AM-E14, AM-E15, AM-E16, AM-L01, AM-L02, AM-L03, AM-L04, AM-L05, AM-L06, AM-L07, AM-L08, AM-L09, AM-N01, AM-N02, AM-N03, AM-N04, AM-N05, AM-N06, AM-N07, AM-N08, AM-N09, AM-N10, AM-N11, AM-N12, AM-N13, AM-N14, AM-N15, AM-N16, C05, H01, H02, H03, H08, H11, H12, H14, H15, PR-E04, PR-L01, PR-N01, PR-N02, S01, S02, S03, S04, S07, S08, Y07</x:v>
      </x:c>
      <x:c r="L206" s="44"/>
      <x:c r="M206" s="44" t="str">
        <x:v>Use only at the listed supplied-stock strength.</x:v>
      </x:c>
      <x:c r="N206" s="44" t="str">
        <x:v>User confirmed ownership on 2026-08-07.</x:v>
      </x:c>
    </x:row>
    <x:row r="207" ht="46" customHeight="1">
      <x:c r="A207" s="44" t="n">
        <x:v>172</x:v>
      </x:c>
      <x:c r="B207" s="44" t="str">
        <x:v>Pink Pepper EO / CO2</x:v>
      </x:c>
      <x:c r="C207" s="44" t="str">
        <x:v>GAP</x:v>
      </x:c>
      <x:c r="D207" s="44"/>
      <x:c r="E207" s="44"/>
      <x:c r="F207" s="44" t="str">
        <x:v>Spice</x:v>
      </x:c>
      <x:c r="G207" s="44" t="str">
        <x:v>target-required authentic material</x:v>
      </x:c>
      <x:c r="H207" s="46" t="n">
        <x:v>1</x:v>
      </x:c>
      <x:c r="I207" s="44" t="n">
        <x:v>8</x:v>
      </x:c>
      <x:c r="J207" s="44" t="n">
        <x:v>8</x:v>
      </x:c>
      <x:c r="K207" s="44" t="str">
        <x:v>AM-N03, AM-N10, AM-N14, AM-N15, C05, PR-L04, S02, Y10</x:v>
      </x:c>
      <x:c r="L207" s="44"/>
      <x:c r="M207" s="44" t="str">
        <x:v>Do not substitute silently; target-required material is not in stock.</x:v>
      </x:c>
      <x:c r="N207" s="44" t="str">
        <x:v>Unchanged from prior register.</x:v>
      </x:c>
    </x:row>
    <x:row r="208" ht="46" customHeight="1">
      <x:c r="A208" s="44" t="n">
        <x:v>173</x:v>
      </x:c>
      <x:c r="B208" s="44" t="str">
        <x:v>Polysantol</x:v>
      </x:c>
      <x:c r="C208" s="44" t="str">
        <x:v>HAVE</x:v>
      </x:c>
      <x:c r="D208" s="44" t="str">
        <x:v>neat / as supplied</x:v>
      </x:c>
      <x:c r="E208" s="44"/>
      <x:c r="F208" s="44" t="str">
        <x:v>woods_amber</x:v>
      </x:c>
      <x:c r="G208" s="44" t="str">
        <x:v>neat / as supplied</x:v>
      </x:c>
      <x:c r="H208" s="46" t="n">
        <x:v>1</x:v>
      </x:c>
      <x:c r="I208" s="44" t="n">
        <x:v>84</x:v>
      </x:c>
      <x:c r="J208" s="44" t="n">
        <x:v>84</x:v>
      </x:c>
      <x:c r="K208"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H10, H11, H12, H13, H14, H15, O02, O03, O06, PR-E05, PR-L05, PR-N02, PR-N03, PR-N04, PR-N07, PR-N08, PR-N12, PR-N14, S01, S02, S03, S04, S05, S06, S07, S08, Y02</x:v>
      </x:c>
      <x:c r="L208" s="44"/>
      <x:c r="M208" s="44" t="str">
        <x:v>Use only at the listed supplied-stock strength.</x:v>
      </x:c>
      <x:c r="N208" s="44" t="str">
        <x:v>Unchanged from prior register.</x:v>
      </x:c>
    </x:row>
    <x:row r="209" ht="46" customHeight="1">
      <x:c r="A209" s="44" t="n">
        <x:v>174</x:v>
      </x:c>
      <x:c r="B209" s="44" t="str">
        <x:v>Prunol / Plum Accord 10%</x:v>
      </x:c>
      <x:c r="C209" s="44" t="str">
        <x:v>GAP</x:v>
      </x:c>
      <x:c r="D209" s="44"/>
      <x:c r="E209" s="44"/>
      <x:c r="F209" s="44" t="str">
        <x:v>Green fruit</x:v>
      </x:c>
      <x:c r="G209" s="44" t="str">
        <x:v>10% target-required accord</x:v>
      </x:c>
      <x:c r="H209" s="46" t="n">
        <x:v>0.1</x:v>
      </x:c>
      <x:c r="I209" s="44" t="n">
        <x:v>2</x:v>
      </x:c>
      <x:c r="J209" s="44" t="n">
        <x:v>2</x:v>
      </x:c>
      <x:c r="K209" s="44" t="str">
        <x:v>AM-E05, AM-E13</x:v>
      </x:c>
      <x:c r="L209" s="44"/>
      <x:c r="M209" s="44" t="str">
        <x:v>Do not substitute silently; target-required material is not in stock.</x:v>
      </x:c>
      <x:c r="N209" s="44" t="str">
        <x:v>Unchanged from prior register.</x:v>
      </x:c>
    </x:row>
    <x:row r="210" ht="46" customHeight="1">
      <x:c r="A210" s="44" t="n">
        <x:v>175</x:v>
      </x:c>
      <x:c r="B210" s="44" t="str">
        <x:v>Red Mandarin EO</x:v>
      </x:c>
      <x:c r="C210" s="44" t="str">
        <x:v>OUT OF STOCK — CONFIRMED</x:v>
      </x:c>
      <x:c r="D210" s="44"/>
      <x:c r="E210" s="44"/>
      <x:c r="F210" s="44" t="str">
        <x:v>Citrus top</x:v>
      </x:c>
      <x:c r="G210" s="44" t="str">
        <x:v>neat / as supplied</x:v>
      </x:c>
      <x:c r="H210" s="46" t="n">
        <x:v>1</x:v>
      </x:c>
      <x:c r="I210" s="44" t="n">
        <x:v>54</x:v>
      </x:c>
      <x:c r="J210" s="44" t="n">
        <x:v>54</x:v>
      </x:c>
      <x:c r="K210" s="44" t="str">
        <x:v>AM-E01, AM-E02, AM-E03, AM-E04, AM-E05, AM-E06, AM-E07, AM-E08, AM-E09, AM-E10, AM-E12, AM-E13, AM-E14, AM-E15, AM-E16, AM-L01, AM-L02, AM-L03, AM-L04, AM-L06, AM-L07, AM-L08, AM-L09, AM-N01, AM-N02, AM-N03, AM-N04, AM-N05, AM-N06, AM-N07, AM-N09, AM-N10, AM-N11, AM-N12, AM-N13, AM-N14, AM-N15, AM-N16, C03, C05, H08, PR-L02, PR-L03, PR-L04, PR-L05, PR-N03, PR-N04, PR-N10, PR-N11, PR-N12, PR-N13, PR-N14, S05, Y14</x:v>
      </x:c>
      <x:c r="L210" s="44"/>
      <x:c r="M210" s="44" t="str">
        <x:v>Do not use or silently replace with blood orange, orange peel or another mandarin.</x:v>
      </x:c>
      <x:c r="N210" s="44" t="str">
        <x:v>User explicitly marked Red Mandarin EO out of stock on 2026-08-07.</x:v>
      </x:c>
    </x:row>
    <x:row r="211" ht="46" customHeight="1">
      <x:c r="A211" s="44" t="n">
        <x:v>176</x:v>
      </x:c>
      <x:c r="B211" s="44" t="str">
        <x:v>Romandolide</x:v>
      </x:c>
      <x:c r="C211" s="44" t="str">
        <x:v>HAVE — NEAT</x:v>
      </x:c>
      <x:c r="D211" s="44" t="str">
        <x:v>Romandolide neat/as supplied</x:v>
      </x:c>
      <x:c r="E211" s="44"/>
      <x:c r="F211" s="44" t="str">
        <x:v>musk</x:v>
      </x:c>
      <x:c r="G211" s="44" t="str">
        <x:v>neat / verify label</x:v>
      </x:c>
      <x:c r="H211" s="46" t="n">
        <x:v>1</x:v>
      </x:c>
      <x:c r="I211" s="44" t="n">
        <x:v>116</x:v>
      </x:c>
      <x:c r="J211" s="44" t="n">
        <x:v>116</x:v>
      </x:c>
      <x:c r="K211"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PR-E04, PR-E05, PR-E06, PR-E07, PR-E08, PR-E09, PR-L01, PR-L03, PR-L04, PR-N01, PR-N02, PR-N04, PR-N05, PR-N06, PR-N07, PR-N08, PR-N09, PR-N10, PR-N11, PR-N12, PR-N13, PR-N14, S01, S02, S03, S04, S05, S06, S07, S08, Y01, Y02, Y03, Y04, Y05, Y06, Y07, Y08, Y09, Y10, Y11, Y12, Y13, Y14</x:v>
      </x:c>
      <x:c r="L211" s="44" t="str">
        <x:v>PerfumersWorld neat Romandolide product.</x:v>
      </x:c>
      <x:c r="M211" s="44" t="str">
        <x:v>Use as neat Romandolide; no dilution or solvent assumption.</x:v>
      </x:c>
      <x:c r="N211" s="44" t="str">
        <x:v>Identity resolved from PerfumersWorld product listing.</x:v>
      </x:c>
    </x:row>
    <x:row r="212" ht="52" customHeight="1">
      <x:c r="A212" s="44" t="n">
        <x:v>177</x:v>
      </x:c>
      <x:c r="B212" s="44" t="str">
        <x:v>Rose Absolute 10%</x:v>
      </x:c>
      <x:c r="C212" s="44" t="str">
        <x:v>HAVE — ROSE DE MAI ABSOLUTE 10%</x:v>
      </x:c>
      <x:c r="D212" s="44" t="str">
        <x:v>Rose de Mai Absolute 10% in DPG</x:v>
      </x:c>
      <x:c r="E212" s="44"/>
      <x:c r="F212" s="44" t="str">
        <x:v>Air floral</x:v>
      </x:c>
      <x:c r="G212" s="44" t="str">
        <x:v>10% target-required working dilution</x:v>
      </x:c>
      <x:c r="H212" s="46" t="n">
        <x:v>0.1</x:v>
      </x:c>
      <x:c r="I212" s="44" t="n">
        <x:v>2</x:v>
      </x:c>
      <x:c r="J212" s="44" t="n">
        <x:v>2</x:v>
      </x:c>
      <x:c r="K212" s="44" t="str">
        <x:v>AM-E05, AM-N05</x:v>
      </x:c>
      <x:c r="L212" s="44" t="str">
        <x:v>Usable as Rose de Mai / Rosa centifolia absolute; not automatically equivalent to Damask, Turkish or Bulgarian rose absolute.</x:v>
      </x:c>
      <x:c r="M212" s="44" t="str">
        <x:v>Use when the target supports Rose de Mai or a non-species-specific rose-absolute function. Keep species-specific claims explicit.</x:v>
      </x:c>
      <x:c r="N212" s="44" t="str">
        <x:v>User owns Rose de Mai Absolute 10%.</x:v>
      </x:c>
    </x:row>
    <x:row r="213" ht="46" customHeight="1">
      <x:c r="A213" s="44"/>
      <x:c r="B213" s="44" t="str">
        <x:v>Rose de Mai 10% in DPG</x:v>
      </x:c>
      <x:c r="C213" s="44" t="str">
        <x:v>HAVE</x:v>
      </x:c>
      <x:c r="D213" s="44" t="str">
        <x:v>10% in DPG</x:v>
      </x:c>
      <x:c r="E213" s="44"/>
      <x:c r="F213" s="44" t="str">
        <x:v>Rose floral</x:v>
      </x:c>
      <x:c r="G213" s="44"/>
      <x:c r="H213" s="46"/>
      <x:c r="I213" s="44" t="n">
        <x:v>0</x:v>
      </x:c>
      <x:c r="J213" s="44" t="n">
        <x:v>0</x:v>
      </x:c>
      <x:c r="K213" s="44"/>
      <x:c r="L213" s="44"/>
      <x:c r="M213" s="44" t="str">
        <x:v>Use only with exact label/stock-strength accounting.</x:v>
      </x:c>
      <x:c r="N213" s="44" t="str">
        <x:v>Does not automatically equal generic Rose EO or Rose Absolute.</x:v>
      </x:c>
    </x:row>
    <x:row r="214" ht="46" customHeight="1">
      <x:c r="A214" s="44" t="n">
        <x:v>178</x:v>
      </x:c>
      <x:c r="B214" s="44" t="str">
        <x:v>Rose EO</x:v>
      </x:c>
      <x:c r="C214" s="44" t="str">
        <x:v>DO NOT USE — GENERIC ROSE EO UNCONFIRMED</x:v>
      </x:c>
      <x:c r="D214" s="44"/>
      <x:c r="E214" s="44"/>
      <x:c r="F214" s="44" t="str">
        <x:v>Floral air</x:v>
      </x:c>
      <x:c r="G214" s="44" t="str">
        <x:v>neat; verify current stock</x:v>
      </x:c>
      <x:c r="H214" s="46" t="n">
        <x:v>1</x:v>
      </x:c>
      <x:c r="I214" s="44" t="n">
        <x:v>18</x:v>
      </x:c>
      <x:c r="J214" s="44" t="n">
        <x:v>18</x:v>
      </x:c>
      <x:c r="K214" s="44" t="str">
        <x:v>H01, H02, H03, H04, H06, H07, H10, H11, H12, H13, H14, O06, S01, S02, S03, S07, Y06, Y08</x:v>
      </x:c>
      <x:c r="L214" s="44" t="str">
        <x:v>Rose de Mai 10% is a separate material and is not mapped to generic Rose EO.</x:v>
      </x:c>
      <x:c r="M214" s="44" t="str">
        <x:v>Hold formula rows requiring generic Rose EO unless a specific owned rose oil is named.</x:v>
      </x:c>
      <x:c r="N214" s="44" t="str">
        <x:v>No further clarification requested; conservative no-use policy applied.</x:v>
      </x:c>
    </x:row>
    <x:row r="215" ht="46" customHeight="1">
      <x:c r="A215" s="44" t="n">
        <x:v>179</x:v>
      </x:c>
      <x:c r="B215" s="44" t="str">
        <x:v>Rose Oxide 1%</x:v>
      </x:c>
      <x:c r="C215" s="44" t="str">
        <x:v>HAVE</x:v>
      </x:c>
      <x:c r="D215" s="44" t="str">
        <x:v>1% working stock</x:v>
      </x:c>
      <x:c r="E215" s="44"/>
      <x:c r="F215" s="44" t="str">
        <x:v>air_floral</x:v>
      </x:c>
      <x:c r="G215" s="44" t="str">
        <x:v>1% working stock</x:v>
      </x:c>
      <x:c r="H215" s="46" t="n">
        <x:v>0.01</x:v>
      </x:c>
      <x:c r="I215" s="44" t="n">
        <x:v>44</x:v>
      </x:c>
      <x:c r="J215" s="44" t="n">
        <x:v>44</x:v>
      </x:c>
      <x:c r="K215" s="44" t="str">
        <x:v>AM-E01, AM-E11, AM-E14, AM-L01, AM-L04, AM-N04, AM-N06, AM-N15, C01, C03, C06, C07, H02, H03, H10, H13, H14, H15, O03, O04, O05, PR-E03, PR-E09, PR-L04, S01, S02, S03, S04, S05, S06, S07, S08, Y01, Y02, Y04, Y06, Y07, Y08, Y09, Y10, Y11, Y12, Y13, Y14</x:v>
      </x:c>
      <x:c r="L215" s="44"/>
      <x:c r="M215" s="44" t="str">
        <x:v>Use only at the listed supplied-stock strength.</x:v>
      </x:c>
      <x:c r="N215" s="44" t="str">
        <x:v>Unchanged from prior register.</x:v>
      </x:c>
    </x:row>
    <x:row r="216" ht="46" customHeight="1">
      <x:c r="A216" s="44" t="n">
        <x:v>180</x:v>
      </x:c>
      <x:c r="B216" s="44" t="str">
        <x:v>Rosemary EO</x:v>
      </x:c>
      <x:c r="C216" s="44" t="str">
        <x:v>HAVE</x:v>
      </x:c>
      <x:c r="D216" s="44" t="str">
        <x:v>neat / as supplied</x:v>
      </x:c>
      <x:c r="E216" s="44"/>
      <x:c r="F216" s="44" t="str">
        <x:v>Aromatic top</x:v>
      </x:c>
      <x:c r="G216" s="44" t="str">
        <x:v>neat / as supplied</x:v>
      </x:c>
      <x:c r="H216" s="46" t="n">
        <x:v>1</x:v>
      </x:c>
      <x:c r="I216" s="44" t="n">
        <x:v>47</x:v>
      </x:c>
      <x:c r="J216" s="44" t="n">
        <x:v>47</x:v>
      </x:c>
      <x:c r="K216" s="44" t="str">
        <x:v>AM-E01, AM-E02, AM-E03, AM-E04, AM-E05, AM-E06, AM-E07, AM-E08, AM-E09, AM-E10, AM-E11, AM-E12, AM-E13, AM-E14, AM-E15, AM-E16, AM-L01, AM-L02, AM-L03, AM-L04, AM-L05, AM-L06, AM-L07, AM-L08, AM-L09, AM-N01, AM-N02, AM-N03, AM-N04, AM-N05, AM-N06, AM-N07, AM-N08, AM-N09, AM-N10, AM-N11, AM-N12, AM-N13, AM-N14, AM-N15, AM-N16, C05, C07, PR-L01, PR-L02, PR-N01, PR-N02</x:v>
      </x:c>
      <x:c r="L216" s="44"/>
      <x:c r="M216" s="44" t="str">
        <x:v>Use only at the listed supplied-stock strength.</x:v>
      </x:c>
      <x:c r="N216" s="44" t="str">
        <x:v>Unchanged from prior register.</x:v>
      </x:c>
    </x:row>
    <x:row r="217" ht="46" customHeight="1">
      <x:c r="A217" s="44" t="n">
        <x:v>181</x:v>
      </x:c>
      <x:c r="B217" s="44" t="str">
        <x:v>Rum Accord 10%</x:v>
      </x:c>
      <x:c r="C217" s="44" t="str">
        <x:v>GAP</x:v>
      </x:c>
      <x:c r="D217" s="44"/>
      <x:c r="E217" s="44"/>
      <x:c r="F217" s="44" t="str">
        <x:v>Sweet balsamic</x:v>
      </x:c>
      <x:c r="G217" s="44" t="str">
        <x:v>10% target-required accord</x:v>
      </x:c>
      <x:c r="H217" s="46" t="n">
        <x:v>0.1</x:v>
      </x:c>
      <x:c r="I217" s="44" t="n">
        <x:v>3</x:v>
      </x:c>
      <x:c r="J217" s="44" t="n">
        <x:v>3</x:v>
      </x:c>
      <x:c r="K217" s="44" t="str">
        <x:v>AM-E01, H05, Y03</x:v>
      </x:c>
      <x:c r="L217" s="44"/>
      <x:c r="M217" s="44" t="str">
        <x:v>Do not substitute silently; target-required material is not in stock.</x:v>
      </x:c>
      <x:c r="N217" s="44" t="str">
        <x:v>Unchanged from prior register.</x:v>
      </x:c>
    </x:row>
    <x:row r="218" ht="46" customHeight="1">
      <x:c r="A218" s="44" t="n">
        <x:v>182</x:v>
      </x:c>
      <x:c r="B218" s="44" t="str">
        <x:v>Safraleine 10%</x:v>
      </x:c>
      <x:c r="C218" s="44" t="str">
        <x:v>HAVE — 10% W/W IN DPG</x:v>
      </x:c>
      <x:c r="D218" s="44" t="str">
        <x:v>Safraleine 10% w/w in DPG</x:v>
      </x:c>
      <x:c r="E218" s="44"/>
      <x:c r="F218" s="44" t="str">
        <x:v>Leather / smoke</x:v>
      </x:c>
      <x:c r="G218" s="44" t="str">
        <x:v>10% working dilution</x:v>
      </x:c>
      <x:c r="H218" s="46" t="n">
        <x:v>0.1</x:v>
      </x:c>
      <x:c r="I218" s="44" t="n">
        <x:v>38</x:v>
      </x:c>
      <x:c r="J218" s="44" t="n">
        <x:v>38</x:v>
      </x:c>
      <x:c r="K218" s="44" t="str">
        <x:v>AM-E01, AM-E02, AM-E03, AM-E04, AM-E05, AM-E06, AM-E07, AM-E08, AM-E11, AM-E13, AM-E14, AM-E15, AM-E16, AM-L03, AM-L04, AM-L05, AM-L06, AM-L07, AM-L08, AM-L09, AM-N01, AM-N03, AM-N04, AM-N05, AM-N07, AM-N08, AM-N09, AM-N10, AM-N13, AM-N15, C08, PR-E07, PR-E08, PR-L04, PR-N05, PR-N06, PR-N07, PR-N14</x:v>
      </x:c>
      <x:c r="L218" s="44"/>
      <x:c r="M218" s="44" t="str">
        <x:v>Use only at the listed supplied-stock strength.</x:v>
      </x:c>
      <x:c r="N218" s="44" t="str">
        <x:v>User confirmed ownership on 2026-08-07.</x:v>
      </x:c>
    </x:row>
    <x:row r="219" ht="46" customHeight="1">
      <x:c r="A219" s="44" t="n">
        <x:v>183</x:v>
      </x:c>
      <x:c r="B219" s="44" t="str">
        <x:v>Sandalore</x:v>
      </x:c>
      <x:c r="C219" s="44" t="str">
        <x:v>HAVE</x:v>
      </x:c>
      <x:c r="D219" s="44" t="str">
        <x:v>neat / as supplied</x:v>
      </x:c>
      <x:c r="E219" s="44"/>
      <x:c r="F219" s="44" t="str">
        <x:v>woods_amber</x:v>
      </x:c>
      <x:c r="G219" s="44" t="str">
        <x:v>neat / as supplied</x:v>
      </x:c>
      <x:c r="H219" s="46" t="n">
        <x:v>1</x:v>
      </x:c>
      <x:c r="I219" s="44" t="n">
        <x:v>102</x:v>
      </x:c>
      <x:c r="J219" s="44" t="n">
        <x:v>102</x:v>
      </x:c>
      <x:c r="K219"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O02, O03, O04, O06, PR-E01, PR-E02, PR-E04, PR-E05, PR-E08, PR-E09, PR-L01, PR-L02, PR-L04, PR-L05, PR-N01, PR-N02, PR-N03, PR-N04, PR-N05, PR-N06, PR-N07, PR-N08, PR-N12, PR-N13, PR-N14, S01, S02, S03, S04, S05, S06, S07, S08, Y01, Y02, Y03, Y04, Y08</x:v>
      </x:c>
      <x:c r="L219" s="44"/>
      <x:c r="M219" s="44" t="str">
        <x:v>Use only at the listed supplied-stock strength.</x:v>
      </x:c>
      <x:c r="N219" s="44" t="str">
        <x:v>Unchanged from prior register.</x:v>
      </x:c>
    </x:row>
    <x:row r="220" ht="46" customHeight="1">
      <x:c r="A220" s="44"/>
      <x:c r="B220" s="44" t="str">
        <x:v>Sandalwood Base X3</x:v>
      </x:c>
      <x:c r="C220" s="44" t="str">
        <x:v>HAVE — PRODUCT BASIS</x:v>
      </x:c>
      <x:c r="D220" s="44" t="str">
        <x:v>Sandalwood Base X3 as supplied</x:v>
      </x:c>
      <x:c r="E220" s="44"/>
      <x:c r="F220" s="44" t="str">
        <x:v>Sandalwood / woods</x:v>
      </x:c>
      <x:c r="G220" s="44"/>
      <x:c r="H220" s="46"/>
      <x:c r="I220" s="44" t="n">
        <x:v>0</x:v>
      </x:c>
      <x:c r="J220" s="44" t="n">
        <x:v>0</x:v>
      </x:c>
      <x:c r="K220" s="44"/>
      <x:c r="L220" s="44" t="str">
        <x:v>Opaque sandalwood base; composition not expanded.</x:v>
      </x:c>
      <x:c r="M220" s="44" t="str">
        <x:v>Count once as a product-basis material.</x:v>
      </x:c>
      <x:c r="N220" s="44" t="str">
        <x:v>User confirmed ownership on 2026-08-07.</x:v>
      </x:c>
    </x:row>
    <x:row r="221" ht="46" customHeight="1">
      <x:c r="A221" s="44" t="n">
        <x:v>184</x:v>
      </x:c>
      <x:c r="B221" s="44" t="str">
        <x:v>Sandalwood EO</x:v>
      </x:c>
      <x:c r="C221" s="44" t="str">
        <x:v>HAVE — 10% IN DPG ONLY</x:v>
      </x:c>
      <x:c r="D221" s="44" t="str">
        <x:v>Sandalwood EO 10% in DPG</x:v>
      </x:c>
      <x:c r="E221" s="44"/>
      <x:c r="F221" s="44" t="str">
        <x:v>Woods / amber</x:v>
      </x:c>
      <x:c r="G221" s="44" t="str">
        <x:v>neat / as supplied; verify stock</x:v>
      </x:c>
      <x:c r="H221" s="46" t="n">
        <x:v>1</x:v>
      </x:c>
      <x:c r="I221" s="44" t="n">
        <x:v>5</x:v>
      </x:c>
      <x:c r="J221" s="44" t="n">
        <x:v>5</x:v>
      </x:c>
      <x:c r="K221" s="44" t="str">
        <x:v>C01, C07, C08, PR-L05, PR-N04</x:v>
      </x:c>
      <x:c r="L221" s="44"/>
      <x:c r="M221" s="44" t="str">
        <x:v>Do not dose or model as neat Sandalwood EO.</x:v>
      </x:c>
      <x:c r="N221" s="44" t="str">
        <x:v>User confirmed ownership on 2026-08-07.</x:v>
      </x:c>
    </x:row>
    <x:row r="222" ht="46" customHeight="1">
      <x:c r="A222" s="44" t="n">
        <x:v>185</x:v>
      </x:c>
      <x:c r="B222" s="44" t="str">
        <x:v>Siam Benzoin 50%</x:v>
      </x:c>
      <x:c r="C222" s="44" t="str">
        <x:v>HAVE — MULTIPLE BENZOINS</x:v>
      </x:c>
      <x:c r="D222" s="44" t="str">
        <x:v>Siam Benzoin 50% plus Vietnamese Benzoin 20% ethanol tincture</x:v>
      </x:c>
      <x:c r="E222" s="44"/>
      <x:c r="F222" s="44" t="str">
        <x:v>sweet_balsamic</x:v>
      </x:c>
      <x:c r="G222" s="44" t="str">
        <x:v>50% working stock</x:v>
      </x:c>
      <x:c r="H222" s="46" t="n">
        <x:v>0.5</x:v>
      </x:c>
      <x:c r="I222" s="44" t="n">
        <x:v>72</x:v>
      </x:c>
      <x:c r="J222" s="44" t="n">
        <x:v>72</x:v>
      </x:c>
      <x:c r="K222" s="44" t="str">
        <x:v>AM-E01, AM-E02, AM-E03, AM-E04, AM-E05, AM-E06, AM-E07, AM-E08, AM-E09, AM-E10, AM-E11, AM-E12, AM-E13, AM-E14, AM-E15, AM-E16, AM-L01, AM-L02, AM-L03, AM-L04, AM-L05, AM-L06, AM-L07, AM-L08, AM-L09, AM-N01, AM-N02, AM-N03, AM-N04, AM-N05, AM-N06, AM-N07, AM-N08, AM-N09, AM-N10, AM-N11, AM-N12, AM-N13, AM-N14, AM-N15, AM-N16, C07, C08, H04, H05, H07, PR-E02, PR-E04, PR-E05, PR-E06, PR-E07, PR-E08, PR-E09, PR-L01, PR-L03, PR-L04, PR-N02, PR-N05, PR-N06, PR-N07, PR-N09, PR-N10, PR-N11, PR-N12, PR-N13, S04, S05, S06, Y03, Y08, Y09, Y11</x:v>
      </x:c>
      <x:c r="L222" s="44"/>
      <x:c r="M222" s="44" t="str">
        <x:v>Treat each benzoin source and solvent as a separate stock.</x:v>
      </x:c>
      <x:c r="N222" s="44" t="str">
        <x:v>Vietnamese Benzoin tincture added.</x:v>
      </x:c>
    </x:row>
    <x:row r="223" ht="52" customHeight="1">
      <x:c r="A223" s="44" t="n">
        <x:v>186</x:v>
      </x:c>
      <x:c r="B223" s="44" t="str">
        <x:v>Spearmint EO</x:v>
      </x:c>
      <x:c r="C223" s="44" t="str">
        <x:v>GAP — PEPPERMINT AVAILABLE</x:v>
      </x:c>
      <x:c r="D223" s="44" t="str">
        <x:v>Peppermint EO neat is available as a separate material</x:v>
      </x:c>
      <x:c r="E223" s="44"/>
      <x:c r="F223" s="44" t="str">
        <x:v>Aromatic top</x:v>
      </x:c>
      <x:c r="G223" s="44" t="str">
        <x:v>target-required authentic material</x:v>
      </x:c>
      <x:c r="H223" s="46" t="n">
        <x:v>1</x:v>
      </x:c>
      <x:c r="I223" s="44" t="n">
        <x:v>4</x:v>
      </x:c>
      <x:c r="J223" s="44" t="n">
        <x:v>4</x:v>
      </x:c>
      <x:c r="K223" s="44" t="str">
        <x:v>AM-E08, AM-E11, AM-N02, PR-N01</x:v>
      </x:c>
      <x:c r="L223" s="44" t="str">
        <x:v>Peppermint EO is not Spearmint EO.</x:v>
      </x:c>
      <x:c r="M223" s="44" t="str">
        <x:v>Do not substitute automatically. A peppermint-led target and a spearmint-led target require different formulas.</x:v>
      </x:c>
      <x:c r="N223" s="44" t="str">
        <x:v>User owns peppermint, not spearmint.</x:v>
      </x:c>
    </x:row>
    <x:row r="224" ht="46" customHeight="1">
      <x:c r="A224" s="44"/>
      <x:c r="B224" s="44" t="str">
        <x:v>Styralyl Acetate</x:v>
      </x:c>
      <x:c r="C224" s="44" t="str">
        <x:v>HAVE — NEAT</x:v>
      </x:c>
      <x:c r="D224" s="44" t="str">
        <x:v>Styralyl Acetate neat/as supplied</x:v>
      </x:c>
      <x:c r="E224" s="44"/>
      <x:c r="F224" s="44" t="str">
        <x:v>Green / floral</x:v>
      </x:c>
      <x:c r="G224" s="44"/>
      <x:c r="H224" s="46"/>
      <x:c r="I224" s="44" t="n">
        <x:v>0</x:v>
      </x:c>
      <x:c r="J224" s="44" t="n">
        <x:v>0</x:v>
      </x:c>
      <x:c r="K224" s="44"/>
      <x:c r="L224" s="44" t="str">
        <x:v>User spelling “stralyl acetate” normalized to Styralyl Acetate.</x:v>
      </x:c>
      <x:c r="M224" s="44" t="str">
        <x:v>Use only with exact label/stock-strength accounting.</x:v>
      </x:c>
      <x:c r="N224" s="44" t="str">
        <x:v>User confirmed ownership on 2026-08-07.</x:v>
      </x:c>
    </x:row>
    <x:row r="225" ht="46" customHeight="1">
      <x:c r="A225" s="44" t="n">
        <x:v>187</x:v>
      </x:c>
      <x:c r="B225" s="44" t="str">
        <x:v>Suederal 10%</x:v>
      </x:c>
      <x:c r="C225" s="44" t="str">
        <x:v>HAVE</x:v>
      </x:c>
      <x:c r="D225" s="44" t="str">
        <x:v>10% working stock</x:v>
      </x:c>
      <x:c r="E225" s="44"/>
      <x:c r="F225" s="44" t="str">
        <x:v>leather</x:v>
      </x:c>
      <x:c r="G225" s="44" t="str">
        <x:v>10% working stock</x:v>
      </x:c>
      <x:c r="H225" s="46" t="n">
        <x:v>0.1</x:v>
      </x:c>
      <x:c r="I225" s="44" t="n">
        <x:v>49</x:v>
      </x:c>
      <x:c r="J225" s="44" t="n">
        <x:v>49</x:v>
      </x:c>
      <x:c r="K225" s="44" t="str">
        <x:v>AM-E01, AM-E02, AM-E03, AM-E04, AM-E06, AM-E07, AM-E08, AM-E11, AM-E13, AM-E14, AM-E15, AM-E16, AM-L03, AM-L04, AM-L05, AM-L06, AM-L07, AM-L08, AM-L09, AM-N01, AM-N03, AM-N05, AM-N07, AM-N08, AM-N09, AM-N13, C08, H01, H04, H06, H07, H08, O02, O04, PR-E02, PR-E07, PR-E08, PR-L01, PR-L04, PR-N05, PR-N06, PR-N07, PR-N14, Y03, Y04, Y07, Y08, Y09, Y11</x:v>
      </x:c>
      <x:c r="L225" s="44"/>
      <x:c r="M225" s="44" t="str">
        <x:v>Use only at the listed supplied-stock strength.</x:v>
      </x:c>
      <x:c r="N225" s="44" t="str">
        <x:v>Unchanged from prior register.</x:v>
      </x:c>
    </x:row>
    <x:row r="226" ht="46" customHeight="1">
      <x:c r="A226" s="44"/>
      <x:c r="B226" s="44" t="str">
        <x:v>Tagetes EO 10%</x:v>
      </x:c>
      <x:c r="C226" s="44" t="str">
        <x:v>HAVE — 10% IN DPG</x:v>
      </x:c>
      <x:c r="D226" s="44" t="str">
        <x:v>Tagetes EO 10% in DPG</x:v>
      </x:c>
      <x:c r="E226" s="44"/>
      <x:c r="F226" s="44" t="str">
        <x:v>Green / fruity / herbal</x:v>
      </x:c>
      <x:c r="G226" s="44"/>
      <x:c r="H226" s="46"/>
      <x:c r="I226" s="44" t="n">
        <x:v>0</x:v>
      </x:c>
      <x:c r="J226" s="44" t="n">
        <x:v>0</x:v>
      </x:c>
      <x:c r="K226" s="44"/>
      <x:c r="L226" s="44" t="str">
        <x:v>User spelling “tagates” normalized to Tagetes.</x:v>
      </x:c>
      <x:c r="M226" s="44" t="str">
        <x:v>Use only with exact label/stock-strength accounting.</x:v>
      </x:c>
      <x:c r="N226" s="44" t="str">
        <x:v>User confirmed ownership on 2026-08-07.</x:v>
      </x:c>
    </x:row>
    <x:row r="227" ht="46" customHeight="1">
      <x:c r="A227" s="44"/>
      <x:c r="B227" s="44" t="str">
        <x:v>Terpinyl Acetate</x:v>
      </x:c>
      <x:c r="C227" s="44" t="str">
        <x:v>HAVE — NEAT</x:v>
      </x:c>
      <x:c r="D227" s="44" t="str">
        <x:v>Terpinyl Acetate neat/as supplied</x:v>
      </x:c>
      <x:c r="E227" s="44"/>
      <x:c r="F227" s="44" t="str">
        <x:v>Aromatic / floral</x:v>
      </x:c>
      <x:c r="G227" s="44"/>
      <x:c r="H227" s="46"/>
      <x:c r="I227" s="44" t="n">
        <x:v>0</x:v>
      </x:c>
      <x:c r="J227" s="44" t="n">
        <x:v>0</x:v>
      </x:c>
      <x:c r="K227" s="44"/>
      <x:c r="L227" s="44" t="str">
        <x:v>Legacy inventory spelling “Terpenyl Acetate” normalized to Terpinyl Acetate.</x:v>
      </x:c>
      <x:c r="M227" s="44" t="str">
        <x:v>Use only with exact label/stock-strength accounting.</x:v>
      </x:c>
      <x:c r="N227" s="44" t="str">
        <x:v>User confirmed ownership on 2026-08-07.</x:v>
      </x:c>
    </x:row>
    <x:row r="228" ht="46" customHeight="1">
      <x:c r="A228" s="44" t="n">
        <x:v>188</x:v>
      </x:c>
      <x:c r="B228" s="44" t="str">
        <x:v>Timberol</x:v>
      </x:c>
      <x:c r="C228" s="44" t="str">
        <x:v>HAVE</x:v>
      </x:c>
      <x:c r="D228" s="44" t="str">
        <x:v>neat</x:v>
      </x:c>
      <x:c r="E228" s="44"/>
      <x:c r="F228" s="44" t="str">
        <x:v>Woods / amber</x:v>
      </x:c>
      <x:c r="G228" s="44" t="str">
        <x:v>neat</x:v>
      </x:c>
      <x:c r="H228" s="46" t="n">
        <x:v>1</x:v>
      </x:c>
      <x:c r="I228" s="44" t="n">
        <x:v>49</x:v>
      </x:c>
      <x:c r="J228" s="44" t="n">
        <x:v>49</x:v>
      </x:c>
      <x:c r="K228" s="44" t="str">
        <x:v>AM-E01, AM-E02, AM-E03, AM-E04, AM-E05, AM-E06, AM-E07, AM-E08, AM-E09, AM-E10, AM-E11, AM-E12, AM-E13, AM-E14, AM-E15, AM-E16, AM-L01, AM-L02, AM-L03, AM-L04, AM-L05, AM-L06, AM-L07, AM-L08, AM-L09, AM-N01, AM-N02, AM-N03, AM-N04, AM-N05, AM-N06, AM-N07, AM-N08, AM-N09, AM-N10, AM-N11, AM-N12, AM-N13, AM-N14, AM-N15, AM-N16, C07, C08, PR-E03, PR-E06, PR-N01, PR-N09, Y01, Y08</x:v>
      </x:c>
      <x:c r="L228" s="44"/>
      <x:c r="M228" s="44" t="str">
        <x:v>Use only at the listed supplied-stock strength.</x:v>
      </x:c>
      <x:c r="N228" s="44" t="str">
        <x:v>Unchanged from prior register.</x:v>
      </x:c>
    </x:row>
    <x:row r="229" ht="46" customHeight="1">
      <x:c r="A229" s="44" t="n">
        <x:v>189</x:v>
      </x:c>
      <x:c r="B229" s="44" t="str">
        <x:v>Tobacco Absolute 10%</x:v>
      </x:c>
      <x:c r="C229" s="44" t="str">
        <x:v>HAVE — 10% W/W IN DPG</x:v>
      </x:c>
      <x:c r="D229" s="44" t="str">
        <x:v>Tobacco Absolute 10% w/w in DPG</x:v>
      </x:c>
      <x:c r="E229" s="44"/>
      <x:c r="F229" s="44" t="str">
        <x:v>Sweet / balsamic</x:v>
      </x:c>
      <x:c r="G229" s="44" t="str">
        <x:v>10% in DPG</x:v>
      </x:c>
      <x:c r="H229" s="46" t="n">
        <x:v>0.1</x:v>
      </x:c>
      <x:c r="I229" s="44" t="n">
        <x:v>35</x:v>
      </x:c>
      <x:c r="J229" s="44" t="n">
        <x:v>35</x:v>
      </x:c>
      <x:c r="K229" s="44" t="str">
        <x:v>AM-E02, AM-E03, AM-E04, AM-E05, AM-E06, AM-E07, AM-E08, AM-E12, AM-E13, AM-E15, AM-L02, AM-L03, AM-L04, AM-L05, AM-L06, AM-L07, AM-L08, AM-L09, AM-N03, AM-N05, AM-N08, AM-N09, AM-N11, AM-N13, AM-N15, AM-N16, H04, PR-E02, PR-N02, PR-N07, PR-N12, PR-N13, S04, S06, Y10</x:v>
      </x:c>
      <x:c r="L229" s="44"/>
      <x:c r="M229" s="44" t="str">
        <x:v>Use only at the listed supplied-stock strength.</x:v>
      </x:c>
      <x:c r="N229" s="44" t="str">
        <x:v>User confirmed ownership on 2026-08-07.</x:v>
      </x:c>
    </x:row>
    <x:row r="230" ht="46" customHeight="1">
      <x:c r="A230" s="44"/>
      <x:c r="B230" s="44" t="str">
        <x:v>Tobacco Absolute 10% in DPG</x:v>
      </x:c>
      <x:c r="C230" s="44" t="str">
        <x:v>HAVE</x:v>
      </x:c>
      <x:c r="D230" s="44" t="str">
        <x:v>10% in DPG</x:v>
      </x:c>
      <x:c r="E230" s="44"/>
      <x:c r="F230" s="44" t="str">
        <x:v>Tobacco</x:v>
      </x:c>
      <x:c r="G230" s="44"/>
      <x:c r="H230" s="46"/>
      <x:c r="I230" s="44" t="n">
        <x:v>0</x:v>
      </x:c>
      <x:c r="J230" s="44" t="n">
        <x:v>0</x:v>
      </x:c>
      <x:c r="K230" s="44"/>
      <x:c r="L230" s="44"/>
      <x:c r="M230" s="44" t="str">
        <x:v>Use only with exact label/stock-strength accounting.</x:v>
      </x:c>
      <x:c r="N230" s="44" t="str">
        <x:v>Confirms item 189.</x:v>
      </x:c>
    </x:row>
    <x:row r="231" ht="46" customHeight="1">
      <x:c r="A231" s="44" t="n">
        <x:v>190</x:v>
      </x:c>
      <x:c r="B231" s="44" t="str">
        <x:v>Tonalide 10%</x:v>
      </x:c>
      <x:c r="C231" s="44" t="str">
        <x:v>HAVE</x:v>
      </x:c>
      <x:c r="D231" s="44" t="str">
        <x:v>10% in DPG</x:v>
      </x:c>
      <x:c r="E231" s="44"/>
      <x:c r="F231" s="44" t="str">
        <x:v>Musk</x:v>
      </x:c>
      <x:c r="G231" s="44" t="str">
        <x:v>10% in DPG</x:v>
      </x:c>
      <x:c r="H231" s="46" t="n">
        <x:v>0.1</x:v>
      </x:c>
      <x:c r="I231" s="44" t="n">
        <x:v>78</x:v>
      </x:c>
      <x:c r="J231" s="44" t="n">
        <x:v>78</x:v>
      </x:c>
      <x:c r="K231" s="44" t="str">
        <x:v>AM-E01, AM-E02, AM-E03, AM-E04, AM-E05, AM-E06, AM-E07, AM-E08, AM-E09, AM-E10, AM-E11, AM-E12, AM-E13, AM-E14, AM-E15, AM-E16, AM-L01, AM-L02, AM-L03, AM-L04, AM-L05, AM-L06, AM-L07, AM-L08, AM-L09, AM-N01, AM-N02, AM-N03, AM-N04, AM-N05, AM-N06, AM-N07, AM-N08, AM-N09, AM-N10, AM-N11, AM-N12, AM-N13, AM-N15, AM-N16, C01, C07, C08, H01, H02, H03, H04, H05, H06, H07, H08, H10, H11, H12, H13, H14, H15, PR-E05, PR-E08, PR-L01, PR-L04, PR-N02, PR-N05, PR-N06, PR-N09, PR-N12, PR-N14, S01, S02, S03, S04, S05, S06, S07, S08, Y01, Y08, Y12</x:v>
      </x:c>
      <x:c r="L231" s="44"/>
      <x:c r="M231" s="44" t="str">
        <x:v>Use only at the listed supplied-stock strength.</x:v>
      </x:c>
      <x:c r="N231" s="44" t="str">
        <x:v>Unchanged from prior register.</x:v>
      </x:c>
    </x:row>
    <x:row r="232" ht="46" customHeight="1">
      <x:c r="A232" s="44" t="n">
        <x:v>191</x:v>
      </x:c>
      <x:c r="B232" s="44" t="str">
        <x:v>Tonka Bean Absolute 10%</x:v>
      </x:c>
      <x:c r="C232" s="44" t="str">
        <x:v>HAVE</x:v>
      </x:c>
      <x:c r="D232" s="44" t="str">
        <x:v>10% working stock</x:v>
      </x:c>
      <x:c r="E232" s="44"/>
      <x:c r="F232" s="44" t="str">
        <x:v>sweet_balsamic</x:v>
      </x:c>
      <x:c r="G232" s="44" t="str">
        <x:v>10% working stock</x:v>
      </x:c>
      <x:c r="H232" s="46" t="n">
        <x:v>0.1</x:v>
      </x:c>
      <x:c r="I232" s="44" t="n">
        <x:v>70</x:v>
      </x:c>
      <x:c r="J232" s="44" t="n">
        <x:v>70</x:v>
      </x:c>
      <x:c r="K232" s="44" t="str">
        <x:v>AM-E02, AM-E03, AM-E04, AM-E05, AM-E06, AM-E07, AM-E08, AM-E10, AM-E11, AM-E12, AM-E13, AM-E14, AM-E15, AM-L02, AM-L03, AM-L04, AM-L05, AM-L06, AM-L08, AM-L09, AM-N01, AM-N02, AM-N04, AM-N05, AM-N06, AM-N08, AM-N09, AM-N10, AM-N11, AM-N12, AM-N13, AM-N14, AM-N15, AM-N16, C01, C02, C03, C04, C05, C06, C07, C08, H06, H13, O01, O02, O03, O05, PR-E01, PR-E02, PR-E05, PR-L01, PR-N02, PR-N05, S05, S06, Y01, Y02, Y03, Y04, Y05, Y06, Y07, Y08, Y09, Y10, Y11, Y12, Y13, Y14</x:v>
      </x:c>
      <x:c r="L232" s="44"/>
      <x:c r="M232" s="44" t="str">
        <x:v>Use only at the listed supplied-stock strength.</x:v>
      </x:c>
      <x:c r="N232" s="44" t="str">
        <x:v>Unchanged from prior register.</x:v>
      </x:c>
    </x:row>
    <x:row r="233" ht="46" customHeight="1">
      <x:c r="A233" s="44"/>
      <x:c r="B233" s="44" t="str">
        <x:v>Tuberalia Base</x:v>
      </x:c>
      <x:c r="C233" s="44" t="str">
        <x:v>HAVE — PRODUCT BASIS</x:v>
      </x:c>
      <x:c r="D233" s="44" t="str">
        <x:v>Tuberalia Base as supplied</x:v>
      </x:c>
      <x:c r="E233" s="44"/>
      <x:c r="F233" s="44" t="str">
        <x:v>White floral</x:v>
      </x:c>
      <x:c r="G233" s="44"/>
      <x:c r="H233" s="46"/>
      <x:c r="I233" s="44" t="n">
        <x:v>0</x:v>
      </x:c>
      <x:c r="J233" s="44" t="n">
        <x:v>0</x:v>
      </x:c>
      <x:c r="K233" s="44"/>
      <x:c r="L233" s="44" t="str">
        <x:v>User spelling “Tuberlia” normalized to existing Tuberalia Base; composition remains opaque.</x:v>
      </x:c>
      <x:c r="M233" s="44" t="str">
        <x:v>Count once as product basis.</x:v>
      </x:c>
      <x:c r="N233" s="44" t="str">
        <x:v>User confirmed ownership on 2026-08-07.</x:v>
      </x:c>
    </x:row>
    <x:row r="234" ht="46" customHeight="1">
      <x:c r="A234" s="44"/>
      <x:c r="B234" s="44" t="str">
        <x:v>Tuberose Absolute 10%</x:v>
      </x:c>
      <x:c r="C234" s="44" t="str">
        <x:v>HAVE — 10% IN DPG</x:v>
      </x:c>
      <x:c r="D234" s="44" t="str">
        <x:v>Tuberose Absolute 10% in DPG</x:v>
      </x:c>
      <x:c r="E234" s="44"/>
      <x:c r="F234" s="44" t="str">
        <x:v>White floral</x:v>
      </x:c>
      <x:c r="G234" s="44"/>
      <x:c r="H234" s="46"/>
      <x:c r="I234" s="44" t="n">
        <x:v>0</x:v>
      </x:c>
      <x:c r="J234" s="44" t="n">
        <x:v>0</x:v>
      </x:c>
      <x:c r="K234" s="44"/>
      <x:c r="L234" s="44"/>
      <x:c r="M234" s="44" t="str">
        <x:v>Use only with exact label/stock-strength accounting.</x:v>
      </x:c>
      <x:c r="N234" s="44" t="str">
        <x:v>User confirmed ownership on 2026-08-07.</x:v>
      </x:c>
    </x:row>
    <x:row r="235" ht="46" customHeight="1">
      <x:c r="A235" s="44"/>
      <x:c r="B235" s="44" t="str">
        <x:v>Tuberose EO Volume Grade</x:v>
      </x:c>
      <x:c r="C235" s="44" t="str">
        <x:v>HAVE — PRODUCT BASIS</x:v>
      </x:c>
      <x:c r="D235" s="44" t="str">
        <x:v>Tuberose EO Volume Grade as supplied</x:v>
      </x:c>
      <x:c r="E235" s="44"/>
      <x:c r="F235" s="44" t="str">
        <x:v>White floral</x:v>
      </x:c>
      <x:c r="G235" s="44"/>
      <x:c r="H235" s="46"/>
      <x:c r="I235" s="44" t="n">
        <x:v>0</x:v>
      </x:c>
      <x:c r="J235" s="44" t="n">
        <x:v>0</x:v>
      </x:c>
      <x:c r="K235" s="44"/>
      <x:c r="L235" s="44" t="str">
        <x:v>Volume-grade product is not treated as a chemically defined essential oil.</x:v>
      </x:c>
      <x:c r="M235" s="44" t="str">
        <x:v>Use as its own product basis.</x:v>
      </x:c>
      <x:c r="N235" s="44" t="str">
        <x:v>User confirmed ownership on 2026-08-07.</x:v>
      </x:c>
    </x:row>
    <x:row r="236" ht="46" customHeight="1">
      <x:c r="A236" s="44" t="n">
        <x:v>192</x:v>
      </x:c>
      <x:c r="B236" s="44" t="str">
        <x:v>Turkish Storax Tincture</x:v>
      </x:c>
      <x:c r="C236" s="44" t="str">
        <x:v>HAVE — 20% W/W ETHANOL TINCTURE</x:v>
      </x:c>
      <x:c r="D236" s="44" t="str">
        <x:v>Turkish storax (Liquidambar orientalis) resin ethanol tincture 20% w/w</x:v>
      </x:c>
      <x:c r="E236" s="44"/>
      <x:c r="F236" s="44" t="str">
        <x:v>resin_incense</x:v>
      </x:c>
      <x:c r="G236" s="44" t="str">
        <x:v>10 g resin + 40 g ethanol; product basis</x:v>
      </x:c>
      <x:c r="H236" s="46"/>
      <x:c r="I236" s="44" t="n">
        <x:v>45</x:v>
      </x:c>
      <x:c r="J236" s="44" t="n">
        <x:v>45</x:v>
      </x:c>
      <x:c r="K236" s="44" t="str">
        <x:v>AM-E01, AM-E02, AM-E03, AM-E04, AM-E05, AM-E06, AM-E07, AM-E08, AM-E10, AM-E11, AM-E12, AM-E13, AM-E14, AM-E15, AM-E16, AM-L03, AM-L04, AM-L05, AM-L06, AM-L07, AM-L08, AM-L09, AM-N01, AM-N02, AM-N03, AM-N04, AM-N05, AM-N07, AM-N08, AM-N09, AM-N10, AM-N11, AM-N12, AM-N13, AM-N15, AM-N16, C08, O04, O05, PR-E08, PR-N05, PR-N07, PR-N09, Y09, Y11</x:v>
      </x:c>
      <x:c r="L236" s="44"/>
      <x:c r="M236" s="44" t="str">
        <x:v>Use on supplied-product basis unless resin solids and extraction recovery are independently established.</x:v>
      </x:c>
      <x:c r="N236" s="44" t="str">
        <x:v>User confirmed ownership on 2026-08-07.</x:v>
      </x:c>
    </x:row>
    <x:row r="237" ht="46" customHeight="1">
      <x:c r="A237" s="44" t="n">
        <x:v>194</x:v>
      </x:c>
      <x:c r="B237" s="44" t="str">
        <x:v>Ultralia</x:v>
      </x:c>
      <x:c r="C237" s="44" t="str">
        <x:v>HAVE</x:v>
      </x:c>
      <x:c r="D237" s="44" t="str">
        <x:v>neat</x:v>
      </x:c>
      <x:c r="E237" s="44"/>
      <x:c r="F237" s="44" t="str">
        <x:v>Iris / violet</x:v>
      </x:c>
      <x:c r="G237" s="44" t="str">
        <x:v>neat</x:v>
      </x:c>
      <x:c r="H237" s="46" t="n">
        <x:v>1</x:v>
      </x:c>
      <x:c r="I237" s="44" t="n">
        <x:v>40</x:v>
      </x:c>
      <x:c r="J237" s="44" t="n">
        <x:v>40</x:v>
      </x:c>
      <x:c r="K237" s="44" t="str">
        <x:v>AM-E01, AM-E02, AM-E05, AM-E06, AM-E08, AM-E09, AM-E10, AM-L01, AM-L04, AM-L05, AM-L07, AM-L08, AM-L09, AM-N01, AM-N04, AM-N05, AM-N06, AM-N08, AM-N12, AM-N13, AM-N16, H01, H02, H04, H05, H06, H07, H08, O01, O02, O04, PR-E01, PR-E02, PR-L03, PR-L04, PR-L05, PR-N02, PR-N04, PR-N11, Y01</x:v>
      </x:c>
      <x:c r="L237" s="44"/>
      <x:c r="M237" s="44" t="str">
        <x:v>Use only at the listed supplied-stock strength.</x:v>
      </x:c>
      <x:c r="N237" s="44" t="str">
        <x:v>Unchanged from prior register.</x:v>
      </x:c>
    </x:row>
    <x:row r="238" ht="46" customHeight="1">
      <x:c r="A238" s="44" t="n">
        <x:v>195</x:v>
      </x:c>
      <x:c r="B238" s="44" t="str">
        <x:v>Undecavertol 1%</x:v>
      </x:c>
      <x:c r="C238" s="44" t="str">
        <x:v>HAVE</x:v>
      </x:c>
      <x:c r="D238" s="44" t="str">
        <x:v>1% working stock</x:v>
      </x:c>
      <x:c r="E238" s="44"/>
      <x:c r="F238" s="44" t="str">
        <x:v>green_fruit</x:v>
      </x:c>
      <x:c r="G238" s="44" t="str">
        <x:v>1% working stock</x:v>
      </x:c>
      <x:c r="H238" s="46" t="n">
        <x:v>0.01</x:v>
      </x:c>
      <x:c r="I238" s="44" t="n">
        <x:v>12</x:v>
      </x:c>
      <x:c r="J238" s="44" t="n">
        <x:v>12</x:v>
      </x:c>
      <x:c r="K238" s="44" t="str">
        <x:v>C01, C03, C04, C06, O04, Y07, Y09, Y10, Y11, Y12, Y13, Y14</x:v>
      </x:c>
      <x:c r="L238" s="44"/>
      <x:c r="M238" s="44" t="str">
        <x:v>Use only at the listed supplied-stock strength.</x:v>
      </x:c>
      <x:c r="N238" s="44" t="str">
        <x:v>Unchanged from prior register.</x:v>
      </x:c>
    </x:row>
    <x:row r="239" ht="46" customHeight="1">
      <x:c r="A239" s="44" t="n">
        <x:v>196</x:v>
      </x:c>
      <x:c r="B239" s="44" t="str">
        <x:v>Vanillin 10%</x:v>
      </x:c>
      <x:c r="C239" s="44" t="str">
        <x:v>HAVE</x:v>
      </x:c>
      <x:c r="D239" s="44" t="str">
        <x:v>10% working stock</x:v>
      </x:c>
      <x:c r="E239" s="44"/>
      <x:c r="F239" s="44" t="str">
        <x:v>sweet_balsamic</x:v>
      </x:c>
      <x:c r="G239" s="44" t="str">
        <x:v>10% working stock</x:v>
      </x:c>
      <x:c r="H239" s="46" t="n">
        <x:v>0.1</x:v>
      </x:c>
      <x:c r="I239" s="44" t="n">
        <x:v>76</x:v>
      </x:c>
      <x:c r="J239" s="44" t="n">
        <x:v>76</x:v>
      </x:c>
      <x:c r="K239" s="44" t="str">
        <x:v>AM-E01, AM-E02, AM-E03, AM-E04, AM-E05, AM-E06, AM-E07, AM-E08, AM-E10, AM-E11, AM-E12, AM-E13, AM-E14, AM-E15, AM-E16, AM-L02, AM-L03, AM-L04, AM-L05, AM-L06, AM-L07, AM-L08, AM-L09, AM-N01, AM-N02, AM-N04, AM-N05, AM-N06, AM-N08, AM-N09, AM-N10, AM-N11, AM-N12, AM-N13, AM-N14, AM-N15, AM-N16, C01, C02, C05, C07, C08, H01, H04, H05, H06, H07, H08, H13, O04, O05, O06, PR-E02, PR-E04, PR-E05, PR-E06, PR-E08, PR-E09, PR-L01, PR-L04, PR-N02, PR-N05, PR-N06, PR-N07, PR-N12, PR-N13, S04, S05, S06, Y01, Y02, Y08, Y09, Y10, Y11, Y13</x:v>
      </x:c>
      <x:c r="L239" s="44"/>
      <x:c r="M239" s="44" t="str">
        <x:v>Use only at the listed supplied-stock strength.</x:v>
      </x:c>
      <x:c r="N239" s="44" t="str">
        <x:v>Unchanged from prior register.</x:v>
      </x:c>
    </x:row>
    <x:row r="240" ht="46" customHeight="1">
      <x:c r="A240" s="44" t="n">
        <x:v>197</x:v>
      </x:c>
      <x:c r="B240" s="44" t="str">
        <x:v>Verdox</x:v>
      </x:c>
      <x:c r="C240" s="44" t="str">
        <x:v>HAVE — NEAT</x:v>
      </x:c>
      <x:c r="D240" s="44" t="str">
        <x:v>Verdox neat/as supplied</x:v>
      </x:c>
      <x:c r="E240" s="44"/>
      <x:c r="F240" s="44" t="str">
        <x:v>green_fruit</x:v>
      </x:c>
      <x:c r="G240" s="44" t="str">
        <x:v>neat / as supplied</x:v>
      </x:c>
      <x:c r="H240" s="46" t="n">
        <x:v>1</x:v>
      </x:c>
      <x:c r="I240" s="44" t="n">
        <x:v>3</x:v>
      </x:c>
      <x:c r="J240" s="44" t="n">
        <x:v>3</x:v>
      </x:c>
      <x:c r="K240" s="44" t="str">
        <x:v>O06, Y02, Y13</x:v>
      </x:c>
      <x:c r="L240" s="44"/>
      <x:c r="M240" s="44" t="str">
        <x:v>Use only at the listed supplied-stock strength.</x:v>
      </x:c>
      <x:c r="N240" s="44" t="str">
        <x:v>Duplicate user mention collapsed to the existing Verdox row; no duplicate inventory row created.</x:v>
      </x:c>
    </x:row>
    <x:row r="241" ht="46" customHeight="1">
      <x:c r="A241" s="44"/>
      <x:c r="B241" s="44" t="str">
        <x:v>Verdyl Acetate</x:v>
      </x:c>
      <x:c r="C241" s="44" t="str">
        <x:v>HAVE — NEAT</x:v>
      </x:c>
      <x:c r="D241" s="44" t="str">
        <x:v>Verdyl Acetate neat/as supplied</x:v>
      </x:c>
      <x:c r="E241" s="44"/>
      <x:c r="F241" s="44" t="str">
        <x:v>Green / woody</x:v>
      </x:c>
      <x:c r="G241" s="44"/>
      <x:c r="H241" s="46"/>
      <x:c r="I241" s="44" t="n">
        <x:v>0</x:v>
      </x:c>
      <x:c r="J241" s="44" t="n">
        <x:v>0</x:v>
      </x:c>
      <x:c r="K241" s="44"/>
      <x:c r="L241" s="44"/>
      <x:c r="M241" s="44" t="str">
        <x:v>Use only with exact label/stock-strength accounting.</x:v>
      </x:c>
      <x:c r="N241" s="44" t="str">
        <x:v>User confirmed ownership on 2026-08-07.</x:v>
      </x:c>
    </x:row>
    <x:row r="242" ht="46" customHeight="1">
      <x:c r="A242" s="44" t="n">
        <x:v>198</x:v>
      </x:c>
      <x:c r="B242" s="44" t="str">
        <x:v>Vertofix</x:v>
      </x:c>
      <x:c r="C242" s="44" t="str">
        <x:v>HAVE</x:v>
      </x:c>
      <x:c r="D242" s="44" t="str">
        <x:v>neat/as supplied</x:v>
      </x:c>
      <x:c r="E242" s="44"/>
      <x:c r="F242" s="44" t="str">
        <x:v>woods_amber</x:v>
      </x:c>
      <x:c r="G242" s="44" t="str">
        <x:v>neat / as supplied</x:v>
      </x:c>
      <x:c r="H242" s="46" t="n">
        <x:v>1</x:v>
      </x:c>
      <x:c r="I242" s="44" t="n">
        <x:v>95</x:v>
      </x:c>
      <x:c r="J242" s="44" t="n">
        <x:v>95</x:v>
      </x:c>
      <x:c r="K242"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C08, H01, H02, H03, H04, H05, H06, H07, H08, H10, H11, H12, H13, H14, H15, O01, O02, O03, O05, O06, PR-E01, PR-E02, PR-E04, PR-E05, PR-E07, PR-N01, PR-N02, PR-N03, PR-N07, PR-N08, S01, S02, S03, S04, S05, S06, S07, S08, Y02, Y03, Y04, Y05, Y06, Y07, Y10, Y12, Y13, Y14</x:v>
      </x:c>
      <x:c r="L242" s="44"/>
      <x:c r="M242" s="44" t="str">
        <x:v>Use only at the listed supplied-stock strength.</x:v>
      </x:c>
      <x:c r="N242" s="44" t="str">
        <x:v>Unchanged from prior register. Confirms item 198.</x:v>
      </x:c>
    </x:row>
    <x:row r="243" ht="46" customHeight="1">
      <x:c r="A243" s="44"/>
      <x:c r="B243" s="44" t="str">
        <x:v>Vetikon</x:v>
      </x:c>
      <x:c r="C243" s="44" t="str">
        <x:v>HAVE</x:v>
      </x:c>
      <x:c r="D243" s="44" t="str">
        <x:v>neat/as supplied; CAS 7403-42-1</x:v>
      </x:c>
      <x:c r="E243" s="44"/>
      <x:c r="F243" s="44" t="str">
        <x:v>Woody / floral / vetiver</x:v>
      </x:c>
      <x:c r="G243" s="44"/>
      <x:c r="H243" s="46"/>
      <x:c r="I243" s="44" t="n">
        <x:v>0</x:v>
      </x:c>
      <x:c r="J243" s="44" t="n">
        <x:v>0</x:v>
      </x:c>
      <x:c r="K243" s="44"/>
      <x:c r="L243" s="44"/>
      <x:c r="M243" s="44" t="str">
        <x:v>Use only with exact label/stock-strength accounting.</x:v>
      </x:c>
      <x:c r="N243" s="44" t="str">
        <x:v>4-methyl-4-phenyl-2-pentanone; keep exact label.</x:v>
      </x:c>
    </x:row>
    <x:row r="244" ht="46" customHeight="1">
      <x:c r="A244" s="44" t="n">
        <x:v>199</x:v>
      </x:c>
      <x:c r="B244" s="44" t="str">
        <x:v>Vetival</x:v>
      </x:c>
      <x:c r="C244" s="44" t="str">
        <x:v>HAVE</x:v>
      </x:c>
      <x:c r="D244" s="44" t="str">
        <x:v>neat</x:v>
      </x:c>
      <x:c r="E244" s="44"/>
      <x:c r="F244" s="44" t="str">
        <x:v>Woods / amber</x:v>
      </x:c>
      <x:c r="G244" s="44" t="str">
        <x:v>neat</x:v>
      </x:c>
      <x:c r="H244" s="46" t="n">
        <x:v>1</x:v>
      </x:c>
      <x:c r="I244" s="44" t="n">
        <x:v>83</x:v>
      </x:c>
      <x:c r="J244" s="44" t="n">
        <x:v>83</x:v>
      </x:c>
      <x:c r="K244" s="44" t="str">
        <x:v>AM-E01, AM-E02, AM-E03, AM-E04, AM-E05, AM-E06, AM-E07, AM-E08, AM-E09, AM-E10, AM-E11, AM-E12, AM-E13, AM-E14, AM-E15, AM-E16, AM-L01, AM-L02, AM-L03, AM-L04, AM-L05, AM-L06, AM-L07, AM-L08, AM-L09, AM-N01, AM-N02, AM-N03, AM-N04, AM-N05, AM-N06, AM-N07, AM-N08, AM-N09, AM-N10, AM-N11, AM-N12, AM-N13, AM-N14, AM-N15, AM-N16, C07, C08, H01, H02, H03, H04, H05, H06, H07, H08, H10, H11, H12, H13, H14, H15, O03, O06, PR-E04, PR-E05, PR-E07, PR-L02, PR-L03, PR-N02, PR-N03, PR-N04, PR-N07, PR-N08, PR-N10, PR-N14, S01, S02, S03, S04, S05, S06, S07, S08, Y01, Y02, Y08, Y12</x:v>
      </x:c>
      <x:c r="L244" s="44"/>
      <x:c r="M244" s="44" t="str">
        <x:v>Use only at the listed supplied-stock strength.</x:v>
      </x:c>
      <x:c r="N244" s="44" t="str">
        <x:v>Unchanged from prior register.</x:v>
      </x:c>
    </x:row>
    <x:row r="245" ht="46" customHeight="1">
      <x:c r="A245" s="44" t="n">
        <x:v>200</x:v>
      </x:c>
      <x:c r="B245" s="44" t="str">
        <x:v>Vetiver EO</x:v>
      </x:c>
      <x:c r="C245" s="44" t="str">
        <x:v>HAVE</x:v>
      </x:c>
      <x:c r="D245" s="44" t="str">
        <x:v>neat / as supplied</x:v>
      </x:c>
      <x:c r="E245" s="44"/>
      <x:c r="F245" s="44" t="str">
        <x:v>woods_amber</x:v>
      </x:c>
      <x:c r="G245" s="44" t="str">
        <x:v>neat / as supplied</x:v>
      </x:c>
      <x:c r="H245" s="46" t="n">
        <x:v>1</x:v>
      </x:c>
      <x:c r="I245" s="44" t="n">
        <x:v>96</x:v>
      </x:c>
      <x:c r="J245" s="44" t="n">
        <x:v>96</x:v>
      </x:c>
      <x:c r="K245"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C08, H01, H02, H03, H04, H05, H06, H07, H08, H09, H10, H11, H12, H13, H14, H15, O01, O02, O03, O04, O05, O06, PR-E01, PR-L03, PR-N01, PR-N03, PR-N14, S01, S02, S03, S04, S05, S06, S07, S08, Y01, Y02, Y03, Y04, Y05, Y06, Y07, Y08, Y09, Y10, Y11, Y12, Y13, Y14</x:v>
      </x:c>
      <x:c r="L245" s="44"/>
      <x:c r="M245" s="44" t="str">
        <x:v>Use only at the listed supplied-stock strength.</x:v>
      </x:c>
      <x:c r="N245" s="44" t="str">
        <x:v>Unchanged from prior register.</x:v>
      </x:c>
    </x:row>
    <x:row r="246" ht="46" customHeight="1">
      <x:c r="A246" s="44" t="n">
        <x:v>201</x:v>
      </x:c>
      <x:c r="B246" s="44" t="str">
        <x:v>Vietnamese Benzoin Tincture</x:v>
      </x:c>
      <x:c r="C246" s="44" t="str">
        <x:v>HAVE — 20% W/W ETHANOL TINCTURE</x:v>
      </x:c>
      <x:c r="D246" s="44" t="str">
        <x:v>Vietnamese benzoin (Styrax tonkinensis) resin ethanol tincture 20% w/w</x:v>
      </x:c>
      <x:c r="E246" s="44"/>
      <x:c r="F246" s="44" t="str">
        <x:v>sweet_balsamic</x:v>
      </x:c>
      <x:c r="G246" s="44" t="str">
        <x:v>10 g resin + 40 g ethanol; product basis</x:v>
      </x:c>
      <x:c r="H246" s="46"/>
      <x:c r="I246" s="44" t="n">
        <x:v>40</x:v>
      </x:c>
      <x:c r="J246" s="44" t="n">
        <x:v>40</x:v>
      </x:c>
      <x:c r="K246" s="44" t="str">
        <x:v>AM-E01, AM-E02, AM-E03, AM-E04, AM-E05, AM-E06, AM-E07, AM-E08, AM-E10, AM-E11, AM-E12, AM-E13, AM-E14, AM-E15, AM-E16, AM-L02, AM-L03, AM-L04, AM-L05, AM-L06, AM-L08, AM-L09, AM-N01, AM-N02, AM-N04, AM-N05, AM-N06, AM-N07, AM-N08, AM-N09, AM-N10, AM-N11, AM-N12, AM-N13, AM-N14, AM-N15, AM-N16, C08, O05, O06</x:v>
      </x:c>
      <x:c r="L246" s="44" t="str">
        <x:v>Botanical spelling normalized to Styrax tonkinensis; tincture remains product-basis/lot-specific.</x:v>
      </x:c>
      <x:c r="M246" s="44" t="str">
        <x:v>Use on supplied-product basis unless resin solids and extraction recovery are independently established.</x:v>
      </x:c>
      <x:c r="N246" s="44" t="str">
        <x:v>User confirmed ownership on 2026-08-07.</x:v>
      </x:c>
    </x:row>
    <x:row r="247" ht="46" customHeight="1">
      <x:c r="A247" s="44" t="n">
        <x:v>202</x:v>
      </x:c>
      <x:c r="B247" s="44" t="str">
        <x:v>Violet Leaf Absolute 10%</x:v>
      </x:c>
      <x:c r="C247" s="44" t="str">
        <x:v>HAVE</x:v>
      </x:c>
      <x:c r="D247" s="44" t="str">
        <x:v>10% working stock</x:v>
      </x:c>
      <x:c r="E247" s="44"/>
      <x:c r="F247" s="44" t="str">
        <x:v>orris_violet</x:v>
      </x:c>
      <x:c r="G247" s="44" t="str">
        <x:v>10% working stock</x:v>
      </x:c>
      <x:c r="H247" s="46" t="n">
        <x:v>0.1</x:v>
      </x:c>
      <x:c r="I247" s="44" t="n">
        <x:v>56</x:v>
      </x:c>
      <x:c r="J247" s="44" t="n">
        <x:v>56</x:v>
      </x:c>
      <x:c r="K247" s="44" t="str">
        <x:v>AM-E01, AM-E03, AM-E04, AM-E06, AM-E08, AM-E09, AM-E10, AM-E11, AM-E13, AM-L01, AM-L02, AM-L03, AM-L05, AM-L07, AM-L09, AM-N01, AM-N02, AM-N03, AM-N06, AM-N07, AM-N10, AM-N12, AM-N13, AM-N14, AM-N15, AM-N16, C07, H01, H02, H04, H05, H06, H07, H08, H13, H14, O01, O02, O04, O06, PR-E01, PR-E07, PR-N02, S01, S02, S03, Y01, Y02, Y03, Y04, Y05, Y06, Y07, Y08, Y09, Y11</x:v>
      </x:c>
      <x:c r="L247" s="44"/>
      <x:c r="M247" s="44" t="str">
        <x:v>Use only at the listed supplied-stock strength.</x:v>
      </x:c>
      <x:c r="N247" s="44" t="str">
        <x:v>Unchanged from prior register.</x:v>
      </x:c>
    </x:row>
    <x:row r="248" ht="46" customHeight="1">
      <x:c r="A248" s="44" t="n">
        <x:v>203</x:v>
      </x:c>
      <x:c r="B248" s="44" t="str">
        <x:v>White Pepper Accord 10%</x:v>
      </x:c>
      <x:c r="C248" s="44" t="str">
        <x:v>GAP</x:v>
      </x:c>
      <x:c r="D248" s="44" t="str">
        <x:v>Black Pepper EO only</x:v>
      </x:c>
      <x:c r="E248" s="44"/>
      <x:c r="F248" s="44" t="str">
        <x:v>Spice</x:v>
      </x:c>
      <x:c r="G248" s="44" t="str">
        <x:v>10% functional accord in DPG</x:v>
      </x:c>
      <x:c r="H248" s="46" t="n">
        <x:v>0.1</x:v>
      </x:c>
      <x:c r="I248" s="44" t="n">
        <x:v>3</x:v>
      </x:c>
      <x:c r="J248" s="44" t="n">
        <x:v>3</x:v>
      </x:c>
      <x:c r="K248" s="44" t="str">
        <x:v>PR-L04, S02, Y01</x:v>
      </x:c>
      <x:c r="L248" s="44" t="str">
        <x:v>Black pepper does not replace White Pepper Accord automatically.</x:v>
      </x:c>
      <x:c r="M248" s="44" t="str">
        <x:v>Use only at the listed supplied-stock strength.</x:v>
      </x:c>
      <x:c r="N248" s="44" t="str">
        <x:v>No White Pepper Accord.</x:v>
      </x:c>
    </x:row>
    <x:row r="249" ht="46" customHeight="1">
      <x:c r="A249" s="44" t="n">
        <x:v>204</x:v>
      </x:c>
      <x:c r="B249" s="44" t="str">
        <x:v>White Pepper EO / CO2</x:v>
      </x:c>
      <x:c r="C249" s="44" t="str">
        <x:v>GAP</x:v>
      </x:c>
      <x:c r="D249" s="44" t="str">
        <x:v>Black Pepper EO only</x:v>
      </x:c>
      <x:c r="E249" s="44"/>
      <x:c r="F249" s="44" t="str">
        <x:v>Spice</x:v>
      </x:c>
      <x:c r="G249" s="44" t="str">
        <x:v>target-required authentic material</x:v>
      </x:c>
      <x:c r="H249" s="46" t="n">
        <x:v>1</x:v>
      </x:c>
      <x:c r="I249" s="44" t="n">
        <x:v>6</x:v>
      </x:c>
      <x:c r="J249" s="44" t="n">
        <x:v>6</x:v>
      </x:c>
      <x:c r="K249" s="44" t="str">
        <x:v>H13, H14, PR-L04, S02, Y07, Y09</x:v>
      </x:c>
      <x:c r="L249" s="44" t="str">
        <x:v>Black pepper does not equal White Pepper EO/CO2.</x:v>
      </x:c>
      <x:c r="M249" s="44" t="str">
        <x:v>Do not substitute silently; target-required material is not in stock.</x:v>
      </x:c>
      <x:c r="N249" s="44" t="str">
        <x:v>No White Pepper EO/CO2.</x:v>
      </x:c>
    </x:row>
    <x:row r="250" ht="46" customHeight="1">
      <x:c r="A250" s="44" t="n">
        <x:v>205</x:v>
      </x:c>
      <x:c r="B250" s="44" t="str">
        <x:v>Wormwood / Absinthe EO 10%</x:v>
      </x:c>
      <x:c r="C250" s="44" t="str">
        <x:v>GAP</x:v>
      </x:c>
      <x:c r="D250" s="44"/>
      <x:c r="E250" s="44"/>
      <x:c r="F250" s="44" t="str">
        <x:v>Aromatic top</x:v>
      </x:c>
      <x:c r="G250" s="44" t="str">
        <x:v>10% target-required working dilution</x:v>
      </x:c>
      <x:c r="H250" s="46" t="n">
        <x:v>0.1</x:v>
      </x:c>
      <x:c r="I250" s="44" t="n">
        <x:v>1</x:v>
      </x:c>
      <x:c r="J250" s="44" t="n">
        <x:v>1</x:v>
      </x:c>
      <x:c r="K250" s="44" t="str">
        <x:v>AM-E08</x:v>
      </x:c>
      <x:c r="L250" s="44"/>
      <x:c r="M250" s="44" t="str">
        <x:v>Do not substitute silently; target-required material is not in stock.</x:v>
      </x:c>
      <x:c r="N250" s="44" t="str">
        <x:v>Unchanged from prior register.</x:v>
      </x:c>
    </x:row>
    <x:row r="251" ht="52" customHeight="1">
      <x:c r="A251" s="44" t="n">
        <x:v>206</x:v>
      </x:c>
      <x:c r="B251" s="44" t="str">
        <x:v>Ylang-Ylang EO</x:v>
      </x:c>
      <x:c r="C251" s="44" t="str">
        <x:v>HAVE — COMOROS COMPLETE + III</x:v>
      </x:c>
      <x:c r="D251" s="44" t="str">
        <x:v>Ylang-Ylang Comoros Complete EO and Ylang-Ylang Comoros III EO</x:v>
      </x:c>
      <x:c r="E251" s="44"/>
      <x:c r="F251" s="44" t="str">
        <x:v>Air floral</x:v>
      </x:c>
      <x:c r="G251" s="44" t="str">
        <x:v>target-required authentic material</x:v>
      </x:c>
      <x:c r="H251" s="46" t="n">
        <x:v>1</x:v>
      </x:c>
      <x:c r="I251" s="44" t="n">
        <x:v>3</x:v>
      </x:c>
      <x:c r="J251" s="44" t="n">
        <x:v>3</x:v>
      </x:c>
      <x:c r="K251" s="44" t="str">
        <x:v>AM-E05, AM-N05, PR-N14</x:v>
      </x:c>
      <x:c r="L251" s="44" t="str">
        <x:v>Complete is the default generic ylang EO stock; grade III remains a distinct later fraction.</x:v>
      </x:c>
      <x:c r="M251" s="44" t="str">
        <x:v>Use Comoros Complete when a formula calls generically for Ylang-Ylang EO. Use III only when its drier/technical profile is specifically appropriate.</x:v>
      </x:c>
      <x:c r="N251" s="44" t="str">
        <x:v>User owns both Comoros Complete and Comoros III.</x:v>
      </x:c>
    </x:row>
    <x:row r="252" ht="46" customHeight="1">
      <x:c r="A252" s="44" t="n">
        <x:v>207</x:v>
      </x:c>
      <x:c r="B252" s="44" t="str">
        <x:v>Zenolide</x:v>
      </x:c>
      <x:c r="C252" s="44" t="str">
        <x:v>HAVE</x:v>
      </x:c>
      <x:c r="D252" s="44" t="str">
        <x:v>neat / as supplied</x:v>
      </x:c>
      <x:c r="E252" s="44"/>
      <x:c r="F252" s="44" t="str">
        <x:v>musk</x:v>
      </x:c>
      <x:c r="G252" s="44" t="str">
        <x:v>neat / as supplied</x:v>
      </x:c>
      <x:c r="H252" s="46" t="n">
        <x:v>1</x:v>
      </x:c>
      <x:c r="I252" s="44" t="n">
        <x:v>111</x:v>
      </x:c>
      <x:c r="J252" s="44" t="n">
        <x:v>111</x:v>
      </x:c>
      <x:c r="K252"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PR-E03, PR-E04, PR-E06, PR-E09, PR-L02, PR-L03, PR-L05, PR-N01, PR-N02, PR-N03, PR-N04, PR-N08, PR-N09, PR-N10, PR-N11, PR-N12, PR-N13, S01, S02, S03, S04, S05, S06, S07, S08, Y01, Y02, Y03, Y04, Y05, Y06, Y07, Y08, Y09, Y10, Y11, Y12, Y13, Y14</x:v>
      </x:c>
      <x:c r="L252" s="44"/>
      <x:c r="M252" s="44" t="str">
        <x:v>Use only at the listed supplied-stock strength.</x:v>
      </x:c>
      <x:c r="N252" s="44" t="str">
        <x:v>Unchanged from prior register.</x:v>
      </x:c>
    </x:row>
    <x:row r="253" ht="46" customHeight="1">
      <x:c r="A253" s="92"/>
      <x:c r="B253" s="92" t="str">
        <x:v>Amyl Cinnamic Aldehyde (ACA)</x:v>
      </x:c>
      <x:c r="C253" s="92" t="str">
        <x:v>HAVE — NEAT</x:v>
      </x:c>
      <x:c r="D253" s="92" t="str">
        <x:v>Amyl Cinnamic Aldehyde neat/as supplied; CAS 122-40-7</x:v>
      </x:c>
      <x:c r="E253" s="92" t="str">
        <x:v>Prepare a working dilution only when the formula requires it.</x:v>
      </x:c>
      <x:c r="F253" s="92" t="str">
        <x:v>Floral / jasmine</x:v>
      </x:c>
      <x:c r="G253" s="92"/>
      <x:c r="H253" s="92" t="n">
        <x:v>1</x:v>
      </x:c>
      <x:c r="I253" s="92" t="n">
        <x:v>0</x:v>
      </x:c>
      <x:c r="J253" s="92" t="n">
        <x:v>0</x:v>
      </x:c>
      <x:c r="K253" s="92"/>
      <x:c r="L253" s="92" t="str">
        <x:v>PerfumersWorld also identifies it as alpha-Amyl Cinnamic Aldehyde / ACA.</x:v>
      </x:c>
      <x:c r="M253" s="92" t="str">
        <x:v>Use as a distinct jasmine-supporting cinnamic aldehyde; do not confuse with HCA or cinnamaldehyde.</x:v>
      </x:c>
      <x:c r="N253" s="92" t="str">
        <x:v>User confirmed ACA identity; PerfumersWorld product documentation resolved it.</x:v>
      </x:c>
    </x:row>
    <x:row r="254" ht="52" customHeight="1">
      <x:c r="A254" s="92"/>
      <x:c r="B254" s="92" t="str">
        <x:v>Aurantiol 10% in DPG</x:v>
      </x:c>
      <x:c r="C254" s="92" t="str">
        <x:v>HAVE — 10% IN DPG</x:v>
      </x:c>
      <x:c r="D254" s="92" t="str">
        <x:v>Aurantiol 10% in DPG</x:v>
      </x:c>
      <x:c r="E254" s="92"/>
      <x:c r="F254" s="92" t="str">
        <x:v>Orange blossom / floral</x:v>
      </x:c>
      <x:c r="G254" s="92"/>
      <x:c r="H254" s="92" t="n">
        <x:v>0.1</x:v>
      </x:c>
      <x:c r="I254" s="92" t="n">
        <x:v>0</x:v>
      </x:c>
      <x:c r="J254" s="92" t="n">
        <x:v>0</x:v>
      </x:c>
      <x:c r="K254" s="92"/>
      <x:c r="L254" s="92" t="str">
        <x:v>Schiff-base orange-blossom material; distinct from natural Orange Blossom Absolute.</x:v>
      </x:c>
      <x:c r="M254" s="92" t="str">
        <x:v>Use exact 10% in DPG stock.</x:v>
      </x:c>
      <x:c r="N254" s="92" t="str">
        <x:v>User confirmed Aurantiol ownership.</x:v>
      </x:c>
    </x:row>
    <x:row r="255" ht="52" customHeight="1">
      <x:c r="A255" s="92"/>
      <x:c r="B255" s="92" t="str">
        <x:v>Ambrofix 40%</x:v>
      </x:c>
      <x:c r="C255" s="92" t="str">
        <x:v>HAVE — 40% STOCK</x:v>
      </x:c>
      <x:c r="D255" s="92" t="str">
        <x:v>Ambrofix 40% working stock</x:v>
      </x:c>
      <x:c r="E255" s="92"/>
      <x:c r="F255" s="92" t="str">
        <x:v>Ambergris / ambery woody</x:v>
      </x:c>
      <x:c r="G255" s="92"/>
      <x:c r="H255" s="92" t="n">
        <x:v>0.4</x:v>
      </x:c>
      <x:c r="I255" s="92" t="n">
        <x:v>0</x:v>
      </x:c>
      <x:c r="J255" s="92" t="n">
        <x:v>0</x:v>
      </x:c>
      <x:c r="K255" s="92"/>
      <x:c r="L255" s="92" t="str">
        <x:v>Separate from Ambrofix 30% and Ambrox Super 33%.</x:v>
      </x:c>
      <x:c r="M255" s="92" t="str">
        <x:v>Formula must specify 30% or 40% stock explicitly.</x:v>
      </x:c>
      <x:c r="N255" s="92" t="str">
        <x:v>User confirmed Ambrofix at 30% and 40%.</x:v>
      </x:c>
    </x:row>
    <x:row r="256">
      <x:c r="A256" s="92"/>
      <x:c r="B256" s="92" t="str">
        <x:v>Freesia HDI</x:v>
      </x:c>
      <x:c r="C256" s="92" t="str">
        <x:v>HAVE — PRODUCT BASIS / LABEL DETAIL OPEN</x:v>
      </x:c>
      <x:c r="D256" s="92" t="str">
        <x:v>Freesia HDI as supplied; exact carrier and composition not stated</x:v>
      </x:c>
      <x:c r="E256" s="92"/>
      <x:c r="F256" s="92" t="str">
        <x:v>Floral / freesia</x:v>
      </x:c>
      <x:c r="G256" s="92"/>
      <x:c r="H256" s="92"/>
      <x:c r="I256" s="92" t="n">
        <x:v>0</x:v>
      </x:c>
      <x:c r="J256" s="92" t="n">
        <x:v>0</x:v>
      </x:c>
      <x:c r="K256" s="92"/>
      <x:c r="L256" s="92" t="str">
        <x:v>Opaque named product; do not expand into imagined internal molecules.</x:v>
      </x:c>
      <x:c r="M256" s="92" t="str">
        <x:v>Count once as an opaque product-basis material; verify exact bottle label before quantitative active-equivalent claims.</x:v>
      </x:c>
      <x:c r="N256" s="92" t="str">
        <x:v>User confirmed ownership on 2026-08-07.</x:v>
      </x:c>
    </x:row>
    <x:row r="257">
      <x:c r="A257" s="92"/>
      <x:c r="B257" s="92" t="str">
        <x:v>Dimethyl Benzyl Carbonyl Acetate</x:v>
      </x:c>
      <x:c r="C257" s="92" t="str">
        <x:v>HAVE — NEAT / AS SUPPLIED</x:v>
      </x:c>
      <x:c r="D257" s="92" t="str">
        <x:v>Dimethyl Benzyl Carbonyl Acetate neat/as supplied</x:v>
      </x:c>
      <x:c r="E257" s="92"/>
      <x:c r="F257" s="92" t="str">
        <x:v>Floral / green</x:v>
      </x:c>
      <x:c r="G257" s="92"/>
      <x:c r="H257" s="92" t="n">
        <x:v>1</x:v>
      </x:c>
      <x:c r="I257" s="92" t="n">
        <x:v>0</x:v>
      </x:c>
      <x:c r="J257" s="92" t="n">
        <x:v>0</x:v>
      </x:c>
      <x:c r="K257" s="92"/>
      <x:c r="L257" s="92"/>
      <x:c r="M257" s="92" t="str">
        <x:v>Use only at the stated supplied-stock strength.</x:v>
      </x:c>
      <x:c r="N257" s="92" t="str">
        <x:v>User confirmed ownership on 2026-08-07.</x:v>
      </x:c>
    </x:row>
    <x:row r="258">
      <x:c r="A258" s="92"/>
      <x:c r="B258" s="92" t="str">
        <x:v>Lemonile</x:v>
      </x:c>
      <x:c r="C258" s="92" t="str">
        <x:v>HAVE — NEAT / AS SUPPLIED</x:v>
      </x:c>
      <x:c r="D258" s="92" t="str">
        <x:v>Lemonile neat/as supplied</x:v>
      </x:c>
      <x:c r="E258" s="92"/>
      <x:c r="F258" s="92" t="str">
        <x:v>Citrus / aldehydic</x:v>
      </x:c>
      <x:c r="G258" s="92"/>
      <x:c r="H258" s="92" t="n">
        <x:v>1</x:v>
      </x:c>
      <x:c r="I258" s="92" t="n">
        <x:v>0</x:v>
      </x:c>
      <x:c r="J258" s="92" t="n">
        <x:v>0</x:v>
      </x:c>
      <x:c r="K258" s="92"/>
      <x:c r="L258" s="92"/>
      <x:c r="M258" s="92" t="str">
        <x:v>Use only at the stated supplied-stock strength.</x:v>
      </x:c>
      <x:c r="N258" s="92" t="str">
        <x:v>User confirmed ownership on 2026-08-07.</x:v>
      </x:c>
    </x:row>
    <x:row r="259">
      <x:c r="A259" s="92"/>
      <x:c r="B259" s="92" t="str">
        <x:v>Methyl Pamplemousse 10%</x:v>
      </x:c>
      <x:c r="C259" s="92" t="str">
        <x:v>HAVE — 10% / CARRIER UNSTATED</x:v>
      </x:c>
      <x:c r="D259" s="92" t="str">
        <x:v>Methyl Pamplemousse 10%; carrier not stated</x:v>
      </x:c>
      <x:c r="E259" s="92"/>
      <x:c r="F259" s="92" t="str">
        <x:v>Citrus / grapefruit</x:v>
      </x:c>
      <x:c r="G259" s="92"/>
      <x:c r="H259" s="92" t="n">
        <x:v>0.1</x:v>
      </x:c>
      <x:c r="I259" s="92" t="n">
        <x:v>0</x:v>
      </x:c>
      <x:c r="J259" s="92" t="n">
        <x:v>0</x:v>
      </x:c>
      <x:c r="K259" s="92"/>
      <x:c r="L259" s="92"/>
      <x:c r="M259" s="92" t="str">
        <x:v>Use only at 10% supplied stock; do not assume DPG, TEC or ethanol.</x:v>
      </x:c>
      <x:c r="N259" s="92" t="str">
        <x:v>User confirmed ownership on 2026-08-07.</x:v>
      </x:c>
    </x:row>
    <x:row r="260">
      <x:c r="A260" s="92"/>
      <x:c r="B260" s="92" t="str">
        <x:v>Pamzest</x:v>
      </x:c>
      <x:c r="C260" s="92" t="str">
        <x:v>HAVE — PRODUCT BASIS / LABEL DETAIL OPEN</x:v>
      </x:c>
      <x:c r="D260" s="92" t="str">
        <x:v>Pamzest as supplied; exact composition and carrier not stated</x:v>
      </x:c>
      <x:c r="E260" s="92"/>
      <x:c r="F260" s="92" t="str">
        <x:v>Citrus / grapefruit</x:v>
      </x:c>
      <x:c r="G260" s="92"/>
      <x:c r="H260" s="92"/>
      <x:c r="I260" s="92" t="n">
        <x:v>0</x:v>
      </x:c>
      <x:c r="J260" s="92" t="n">
        <x:v>0</x:v>
      </x:c>
      <x:c r="K260" s="92"/>
      <x:c r="L260" s="92" t="str">
        <x:v>Opaque specialty product; not treated as a disclosed single grapefruit molecule.</x:v>
      </x:c>
      <x:c r="M260" s="92" t="str">
        <x:v>Count once as a product-basis material; verify bottle label before quantitative claims.</x:v>
      </x:c>
      <x:c r="N260" s="92" t="str">
        <x:v>User confirmed ownership on 2026-08-07.</x:v>
      </x:c>
    </x:row>
    <x:row r="261">
      <x:c r="A261" s="92"/>
      <x:c r="B261" s="92" t="str">
        <x:v>Paradisamide</x:v>
      </x:c>
      <x:c r="C261" s="92" t="str">
        <x:v>HAVE — NEAT / AS SUPPLIED</x:v>
      </x:c>
      <x:c r="D261" s="92" t="str">
        <x:v>Paradisamide neat/as supplied</x:v>
      </x:c>
      <x:c r="E261" s="92"/>
      <x:c r="F261" s="92" t="str">
        <x:v>Fresh / citrus / floral</x:v>
      </x:c>
      <x:c r="G261" s="92"/>
      <x:c r="H261" s="92" t="n">
        <x:v>1</x:v>
      </x:c>
      <x:c r="I261" s="92" t="n">
        <x:v>0</x:v>
      </x:c>
      <x:c r="J261" s="92" t="n">
        <x:v>0</x:v>
      </x:c>
      <x:c r="K261" s="92"/>
      <x:c r="L261" s="92"/>
      <x:c r="M261" s="92" t="str">
        <x:v>Use only at the stated supplied-stock strength.</x:v>
      </x:c>
      <x:c r="N261" s="92" t="str">
        <x:v>User confirmed ownership on 2026-08-07.</x:v>
      </x:c>
    </x:row>
    <x:row r="262">
      <x:c r="A262" s="92"/>
      <x:c r="B262" s="92" t="str">
        <x:v>Heliotropin</x:v>
      </x:c>
      <x:c r="C262" s="92" t="str">
        <x:v>HAVE — AS SUPPLIED / PHYSICAL FORM OPEN</x:v>
      </x:c>
      <x:c r="D262" s="92" t="str">
        <x:v>Heliotropin as supplied; exact physical form and carrier not stated</x:v>
      </x:c>
      <x:c r="E262" s="92"/>
      <x:c r="F262" s="92" t="str">
        <x:v>Powder / heliotrope</x:v>
      </x:c>
      <x:c r="G262" s="92"/>
      <x:c r="H262" s="92" t="n">
        <x:v>1</x:v>
      </x:c>
      <x:c r="I262" s="92" t="n">
        <x:v>0</x:v>
      </x:c>
      <x:c r="J262" s="92" t="n">
        <x:v>0</x:v>
      </x:c>
      <x:c r="K262" s="92"/>
      <x:c r="L262" s="92" t="str">
        <x:v>Keep separate from Heliotropal; similar naming does not establish identity or stock equivalence.</x:v>
      </x:c>
      <x:c r="M262" s="92" t="str">
        <x:v>Verify bottle form before direct micro-volume dosing.</x:v>
      </x:c>
      <x:c r="N262" s="92" t="str">
        <x:v>User confirmed ownership on 2026-08-07.</x:v>
      </x:c>
    </x:row>
    <x:row r="263">
      <x:c r="A263" s="92"/>
      <x:c r="B263" s="92" t="str">
        <x:v>Skatole 1%</x:v>
      </x:c>
      <x:c r="C263" s="92" t="str">
        <x:v>HAVE — 1% / CARRIER UNSTATED</x:v>
      </x:c>
      <x:c r="D263" s="92" t="str">
        <x:v>Skatole 1%; carrier not stated</x:v>
      </x:c>
      <x:c r="E263" s="92"/>
      <x:c r="F263" s="92" t="str">
        <x:v>Animalic / indolic</x:v>
      </x:c>
      <x:c r="G263" s="92"/>
      <x:c r="H263" s="92" t="n">
        <x:v>0.01</x:v>
      </x:c>
      <x:c r="I263" s="92" t="n">
        <x:v>0</x:v>
      </x:c>
      <x:c r="J263" s="92" t="n">
        <x:v>0</x:v>
      </x:c>
      <x:c r="K263" s="92"/>
      <x:c r="L263" s="92"/>
      <x:c r="M263" s="92" t="str">
        <x:v>Use only at 1%; verify carrier before quantitative matrix work.</x:v>
      </x:c>
      <x:c r="N263" s="92" t="str">
        <x:v>User confirmed ownership on 2026-08-07.</x:v>
      </x:c>
    </x:row>
    <x:row r="264">
      <x:c r="A264" s="92"/>
      <x:c r="B264" s="92" t="str">
        <x:v>Tonkarome 20%</x:v>
      </x:c>
      <x:c r="C264" s="92" t="str">
        <x:v>HAVE — PRODUCT BASIS 20% / CARRIER UNSTATED</x:v>
      </x:c>
      <x:c r="D264" s="92" t="str">
        <x:v>Tonkarome 20%; carrier not stated</x:v>
      </x:c>
      <x:c r="E264" s="92"/>
      <x:c r="F264" s="92" t="str">
        <x:v>Tonka / powder</x:v>
      </x:c>
      <x:c r="G264" s="92"/>
      <x:c r="H264" s="92" t="n">
        <x:v>0.2</x:v>
      </x:c>
      <x:c r="I264" s="92" t="n">
        <x:v>0</x:v>
      </x:c>
      <x:c r="J264" s="92" t="n">
        <x:v>0</x:v>
      </x:c>
      <x:c r="K264" s="92"/>
      <x:c r="L264" s="92" t="str">
        <x:v>Named specialty product; internal composition not inferred.</x:v>
      </x:c>
      <x:c r="M264" s="92" t="str">
        <x:v>Count once as a 20% product-basis stock.</x:v>
      </x:c>
      <x:c r="N264" s="92" t="str">
        <x:v>User confirmed ownership on 2026-08-07.</x:v>
      </x:c>
    </x:row>
    <x:row r="265">
      <x:c r="A265" s="92"/>
      <x:c r="B265" s="92" t="str">
        <x:v>Bourgeonal 20% in TEC</x:v>
      </x:c>
      <x:c r="C265" s="92" t="str">
        <x:v>HAVE — 20% W/W IN TEC / LABEL NAME OPEN</x:v>
      </x:c>
      <x:c r="D265" s="92" t="str">
        <x:v>Bourgenol/Bourgeonal 20% w/w in TEC</x:v>
      </x:c>
      <x:c r="E265" s="92"/>
      <x:c r="F265" s="92" t="str">
        <x:v>Muguet / floral air</x:v>
      </x:c>
      <x:c r="G265" s="92"/>
      <x:c r="H265" s="92" t="n">
        <x:v>0.2</x:v>
      </x:c>
      <x:c r="I265" s="92" t="n">
        <x:v>0</x:v>
      </x:c>
      <x:c r="J265" s="92" t="n">
        <x:v>0</x:v>
      </x:c>
      <x:c r="K265" s="92"/>
      <x:c r="L265" s="92" t="str">
        <x:v>User bottle wording/spelling recorded as Bourgenol; canonical Bourgeonal spelling remains label-verification dependent.</x:v>
      </x:c>
      <x:c r="M265" s="92" t="str">
        <x:v>Use exact 20% w/w TEC stock; preserve label-name uncertainty.</x:v>
      </x:c>
      <x:c r="N265" s="92" t="str">
        <x:v>User confirmed ownership on 2026-08-07.</x:v>
      </x:c>
    </x:row>
    <x:row r="266">
      <x:c r="A266" s="92"/>
      <x:c r="B266" s="92" t="str">
        <x:v>Ethyl Maltol 1% + 10%</x:v>
      </x:c>
      <x:c r="C266" s="92" t="str">
        <x:v>HAVE — 1% + 10% / CARRIERS UNSTATED</x:v>
      </x:c>
      <x:c r="D266" s="92" t="str">
        <x:v>Ethyl Maltol 1% and 10% working stocks; carriers not stated</x:v>
      </x:c>
      <x:c r="E266" s="92"/>
      <x:c r="F266" s="92" t="str">
        <x:v>Sweet / caramel</x:v>
      </x:c>
      <x:c r="G266" s="92"/>
      <x:c r="H266" s="92"/>
      <x:c r="I266" s="92" t="n">
        <x:v>0</x:v>
      </x:c>
      <x:c r="J266" s="92" t="n">
        <x:v>0</x:v>
      </x:c>
      <x:c r="K266" s="92"/>
      <x:c r="L266" s="92" t="str">
        <x:v>Same parent material at two strengths; count once toward odor complexity.</x:v>
      </x:c>
      <x:c r="M266" s="92" t="str">
        <x:v>Every formula must specify 1% versus 10% and record carrier before matrix-sensitive work.</x:v>
      </x:c>
      <x:c r="N266" s="92" t="str">
        <x:v>User confirmed ownership on 2026-08-07.</x:v>
      </x:c>
    </x:row>
    <x:row r="267">
      <x:c r="A267" s="92"/>
      <x:c r="B267" s="92" t="str">
        <x:v>Aldehyde C10 neat</x:v>
      </x:c>
      <x:c r="C267" s="92" t="str">
        <x:v>HAVE — NEAT</x:v>
      </x:c>
      <x:c r="D267" s="92" t="str">
        <x:v>Aldehyde C10 neat/as supplied</x:v>
      </x:c>
      <x:c r="E267" s="92"/>
      <x:c r="F267" s="92" t="str">
        <x:v>Aldehydic / citrus</x:v>
      </x:c>
      <x:c r="G267" s="92"/>
      <x:c r="H267" s="92" t="n">
        <x:v>1</x:v>
      </x:c>
      <x:c r="I267" s="92" t="n">
        <x:v>0</x:v>
      </x:c>
      <x:c r="J267" s="92" t="n">
        <x:v>0</x:v>
      </x:c>
      <x:c r="K267" s="92"/>
      <x:c r="L267" s="92" t="str">
        <x:v>Same parent as C10 1% and 10% stocks; count once toward complexity.</x:v>
      </x:c>
      <x:c r="M267" s="92" t="str">
        <x:v>Use neat only for stock preparation or explicitly authorized direct dosing.</x:v>
      </x:c>
      <x:c r="N267" s="92" t="str">
        <x:v>User confirmed ownership on 2026-08-07.</x:v>
      </x:c>
    </x:row>
    <x:row r="268">
      <x:c r="A268" s="92"/>
      <x:c r="B268" s="92" t="str">
        <x:v>Aldehyde C11 neat</x:v>
      </x:c>
      <x:c r="C268" s="92" t="str">
        <x:v>HAVE — NEAT</x:v>
      </x:c>
      <x:c r="D268" s="92" t="str">
        <x:v>Aldehyde C11 neat/as supplied</x:v>
      </x:c>
      <x:c r="E268" s="92"/>
      <x:c r="F268" s="92" t="str">
        <x:v>Aldehydic / citrus</x:v>
      </x:c>
      <x:c r="G268" s="92"/>
      <x:c r="H268" s="92" t="n">
        <x:v>1</x:v>
      </x:c>
      <x:c r="I268" s="92" t="n">
        <x:v>0</x:v>
      </x:c>
      <x:c r="J268" s="92" t="n">
        <x:v>0</x:v>
      </x:c>
      <x:c r="K268" s="92"/>
      <x:c r="L268" s="92" t="str">
        <x:v>Same parent as C11 1% and 10% stocks; count once toward complexity.</x:v>
      </x:c>
      <x:c r="M268" s="92" t="str">
        <x:v>Use neat only for stock preparation or explicitly authorized direct dosing.</x:v>
      </x:c>
      <x:c r="N268" s="92" t="str">
        <x:v>User confirmed ownership on 2026-08-07.</x:v>
      </x:c>
    </x:row>
    <x:row r="269">
      <x:c r="A269" s="92"/>
      <x:c r="B269" s="92" t="str">
        <x:v>Aldehyde C12 MNA neat</x:v>
      </x:c>
      <x:c r="C269" s="92" t="str">
        <x:v>HAVE — NEAT</x:v>
      </x:c>
      <x:c r="D269" s="92" t="str">
        <x:v>Aldehyde C12 MNA neat/as supplied</x:v>
      </x:c>
      <x:c r="E269" s="92"/>
      <x:c r="F269" s="92" t="str">
        <x:v>Aldehydic / citrus</x:v>
      </x:c>
      <x:c r="G269" s="92"/>
      <x:c r="H269" s="92" t="n">
        <x:v>1</x:v>
      </x:c>
      <x:c r="I269" s="92" t="n">
        <x:v>0</x:v>
      </x:c>
      <x:c r="J269" s="92" t="n">
        <x:v>0</x:v>
      </x:c>
      <x:c r="K269" s="92"/>
      <x:c r="L269" s="92" t="str">
        <x:v>Same parent as C12 MNA 1% and 10% stocks; count once toward complexity.</x:v>
      </x:c>
      <x:c r="M269" s="92" t="str">
        <x:v>Use neat only for stock preparation or explicitly authorized direct dosing.</x:v>
      </x:c>
      <x:c r="N269" s="92" t="str">
        <x:v>User confirmed ownership on 2026-08-07.</x:v>
      </x:c>
    </x:row>
    <x:row r="270">
      <x:c r="A270" s="92"/>
      <x:c r="B270" s="92" t="str">
        <x:v>Delta Decalactone</x:v>
      </x:c>
      <x:c r="C270" s="92" t="str">
        <x:v>HAVE — NEAT / AS SUPPLIED</x:v>
      </x:c>
      <x:c r="D270" s="92" t="str">
        <x:v>Delta Decalactone neat/as supplied</x:v>
      </x:c>
      <x:c r="E270" s="92"/>
      <x:c r="F270" s="92" t="str">
        <x:v>Lactone / fruit</x:v>
      </x:c>
      <x:c r="G270" s="92"/>
      <x:c r="H270" s="92" t="n">
        <x:v>1</x:v>
      </x:c>
      <x:c r="I270" s="92" t="n">
        <x:v>0</x:v>
      </x:c>
      <x:c r="J270" s="92" t="n">
        <x:v>0</x:v>
      </x:c>
      <x:c r="K270" s="92"/>
      <x:c r="L270" s="92"/>
      <x:c r="M270" s="92" t="str">
        <x:v>Use only at the stated supplied-stock strength.</x:v>
      </x:c>
      <x:c r="N270" s="92" t="str">
        <x:v>User confirmed ownership on 2026-08-07.</x:v>
      </x:c>
    </x:row>
    <x:row r="271">
      <x:c r="A271" s="92"/>
      <x:c r="B271" s="92" t="str">
        <x:v>Maple Lactone 20%</x:v>
      </x:c>
      <x:c r="C271" s="92" t="str">
        <x:v>HAVE — 20% / CARRIER UNSTATED</x:v>
      </x:c>
      <x:c r="D271" s="92" t="str">
        <x:v>Maple Lactone 20%; carrier not stated</x:v>
      </x:c>
      <x:c r="E271" s="92"/>
      <x:c r="F271" s="92" t="str">
        <x:v>Gourmand / maple</x:v>
      </x:c>
      <x:c r="G271" s="92"/>
      <x:c r="H271" s="92" t="n">
        <x:v>0.2</x:v>
      </x:c>
      <x:c r="I271" s="92" t="n">
        <x:v>0</x:v>
      </x:c>
      <x:c r="J271" s="92" t="n">
        <x:v>0</x:v>
      </x:c>
      <x:c r="K271" s="92"/>
      <x:c r="L271" s="92"/>
      <x:c r="M271" s="92" t="str">
        <x:v>Use only at the stated supplied-stock strength.</x:v>
      </x:c>
      <x:c r="N271" s="92" t="str">
        <x:v>User confirmed ownership on 2026-08-07.</x:v>
      </x:c>
    </x:row>
    <x:row r="272">
      <x:c r="A272" s="92"/>
      <x:c r="B272" s="92" t="str">
        <x:v>Raspberry Ketone 20% in DPG</x:v>
      </x:c>
      <x:c r="C272" s="92" t="str">
        <x:v>HAVE — 20% W/W IN DPG</x:v>
      </x:c>
      <x:c r="D272" s="92" t="str">
        <x:v>Raspberry Ketone 20% w/w in DPG</x:v>
      </x:c>
      <x:c r="E272" s="92"/>
      <x:c r="F272" s="92" t="str">
        <x:v>Berry / fruit</x:v>
      </x:c>
      <x:c r="G272" s="92"/>
      <x:c r="H272" s="92" t="n">
        <x:v>0.2</x:v>
      </x:c>
      <x:c r="I272" s="92" t="n">
        <x:v>0</x:v>
      </x:c>
      <x:c r="J272" s="92" t="n">
        <x:v>0</x:v>
      </x:c>
      <x:c r="K272" s="92"/>
      <x:c r="L272" s="92"/>
      <x:c r="M272" s="92" t="str">
        <x:v>Use only at the stated supplied-stock strength.</x:v>
      </x:c>
      <x:c r="N272" s="92" t="str">
        <x:v>User confirmed ownership on 2026-08-07.</x:v>
      </x:c>
    </x:row>
    <x:row r="273">
      <x:c r="A273" s="92"/>
      <x:c r="B273" s="92" t="str">
        <x:v>Dynascone 10% in DPG</x:v>
      </x:c>
      <x:c r="C273" s="92" t="str">
        <x:v>HAVE — 10% W/W IN DPG</x:v>
      </x:c>
      <x:c r="D273" s="92" t="str">
        <x:v>Dynascone 10% w/w in DPG</x:v>
      </x:c>
      <x:c r="E273" s="92"/>
      <x:c r="F273" s="92" t="str">
        <x:v>Floral / fruity</x:v>
      </x:c>
      <x:c r="G273" s="92"/>
      <x:c r="H273" s="92" t="n">
        <x:v>0.1</x:v>
      </x:c>
      <x:c r="I273" s="92" t="n">
        <x:v>0</x:v>
      </x:c>
      <x:c r="J273" s="92" t="n">
        <x:v>0</x:v>
      </x:c>
      <x:c r="K273" s="92"/>
      <x:c r="L273" s="92"/>
      <x:c r="M273" s="92" t="str">
        <x:v>Use only at the stated supplied-stock strength.</x:v>
      </x:c>
      <x:c r="N273" s="92" t="str">
        <x:v>User confirmed ownership on 2026-08-07.</x:v>
      </x:c>
    </x:row>
    <x:row r="274">
      <x:c r="A274" s="92"/>
      <x:c r="B274" s="92" t="str">
        <x:v>Hexyl Acetate 1%</x:v>
      </x:c>
      <x:c r="C274" s="92" t="str">
        <x:v>HAVE — 1% / CARRIER UNSTATED</x:v>
      </x:c>
      <x:c r="D274" s="92" t="str">
        <x:v>Hexyl Acetate 1%; carrier not stated</x:v>
      </x:c>
      <x:c r="E274" s="92"/>
      <x:c r="F274" s="92" t="str">
        <x:v>Fruit ester</x:v>
      </x:c>
      <x:c r="G274" s="92"/>
      <x:c r="H274" s="92" t="n">
        <x:v>0.01</x:v>
      </x:c>
      <x:c r="I274" s="92" t="n">
        <x:v>0</x:v>
      </x:c>
      <x:c r="J274" s="92" t="n">
        <x:v>0</x:v>
      </x:c>
      <x:c r="K274" s="92"/>
      <x:c r="L274" s="92" t="str">
        <x:v>Same parent as Hexyl Acetate 10%; count once toward complexity.</x:v>
      </x:c>
      <x:c r="M274" s="92" t="str">
        <x:v>Formula must specify exact stock strength.</x:v>
      </x:c>
      <x:c r="N274" s="92" t="str">
        <x:v>User confirmed ownership on 2026-08-07.</x:v>
      </x:c>
    </x:row>
    <x:row r="275">
      <x:c r="A275" s="92"/>
      <x:c r="B275" s="92" t="str">
        <x:v>Triplal</x:v>
      </x:c>
      <x:c r="C275" s="92" t="str">
        <x:v>HAVE — NEAT / AS SUPPLIED</x:v>
      </x:c>
      <x:c r="D275" s="92" t="str">
        <x:v>Triplal neat/as supplied</x:v>
      </x:c>
      <x:c r="E275" s="92"/>
      <x:c r="F275" s="92" t="str">
        <x:v>Green / aldehydic</x:v>
      </x:c>
      <x:c r="G275" s="92"/>
      <x:c r="H275" s="92" t="n">
        <x:v>1</x:v>
      </x:c>
      <x:c r="I275" s="92" t="n">
        <x:v>0</x:v>
      </x:c>
      <x:c r="J275" s="92" t="n">
        <x:v>0</x:v>
      </x:c>
      <x:c r="K275" s="92"/>
      <x:c r="L275" s="92"/>
      <x:c r="M275" s="92" t="str">
        <x:v>Use only at the stated supplied-stock strength.</x:v>
      </x:c>
      <x:c r="N275" s="92" t="str">
        <x:v>User confirmed ownership on 2026-08-07.</x:v>
      </x:c>
    </x:row>
    <x:row r="276">
      <x:c r="A276" s="92"/>
      <x:c r="B276" s="92" t="str">
        <x:v>Peonile</x:v>
      </x:c>
      <x:c r="C276" s="92" t="str">
        <x:v>HAVE — NEAT / AS SUPPLIED</x:v>
      </x:c>
      <x:c r="D276" s="92" t="str">
        <x:v>Peonile neat/as supplied</x:v>
      </x:c>
      <x:c r="E276" s="92"/>
      <x:c r="F276" s="92" t="str">
        <x:v>Floral / peony</x:v>
      </x:c>
      <x:c r="G276" s="92"/>
      <x:c r="H276" s="92" t="n">
        <x:v>1</x:v>
      </x:c>
      <x:c r="I276" s="92" t="n">
        <x:v>0</x:v>
      </x:c>
      <x:c r="J276" s="92" t="n">
        <x:v>0</x:v>
      </x:c>
      <x:c r="K276" s="92"/>
      <x:c r="L276" s="92"/>
      <x:c r="M276" s="92" t="str">
        <x:v>Use only at the stated supplied-stock strength.</x:v>
      </x:c>
      <x:c r="N276" s="92" t="str">
        <x:v>User confirmed ownership on 2026-08-07.</x:v>
      </x:c>
    </x:row>
    <x:row r="277">
      <x:c r="A277" s="92"/>
      <x:c r="B277" s="92" t="str">
        <x:v>Damascol</x:v>
      </x:c>
      <x:c r="C277" s="92" t="str">
        <x:v>HAVE — NEAT / AS SUPPLIED</x:v>
      </x:c>
      <x:c r="D277" s="92" t="str">
        <x:v>Damascol neat/as supplied</x:v>
      </x:c>
      <x:c r="E277" s="92"/>
      <x:c r="F277" s="92" t="str">
        <x:v>Rose / fruity floral</x:v>
      </x:c>
      <x:c r="G277" s="92"/>
      <x:c r="H277" s="92" t="n">
        <x:v>1</x:v>
      </x:c>
      <x:c r="I277" s="92" t="n">
        <x:v>0</x:v>
      </x:c>
      <x:c r="J277" s="92" t="n">
        <x:v>0</x:v>
      </x:c>
      <x:c r="K277" s="92"/>
      <x:c r="L277" s="92"/>
      <x:c r="M277" s="92" t="str">
        <x:v>Use only at the stated supplied-stock strength.</x:v>
      </x:c>
      <x:c r="N277" s="92" t="str">
        <x:v>User confirmed ownership on 2026-08-07.</x:v>
      </x:c>
    </x:row>
    <x:row r="278">
      <x:c r="A278" s="92"/>
      <x:c r="B278" s="92" t="str">
        <x:v>Alpha Damascone</x:v>
      </x:c>
      <x:c r="C278" s="92" t="str">
        <x:v>HAVE — NEAT / AS SUPPLIED</x:v>
      </x:c>
      <x:c r="D278" s="92" t="str">
        <x:v>Alpha Damascone neat/as supplied</x:v>
      </x:c>
      <x:c r="E278" s="92"/>
      <x:c r="F278" s="92" t="str">
        <x:v>Rose / fruity floral</x:v>
      </x:c>
      <x:c r="G278" s="92"/>
      <x:c r="H278" s="92" t="n">
        <x:v>1</x:v>
      </x:c>
      <x:c r="I278" s="92" t="n">
        <x:v>0</x:v>
      </x:c>
      <x:c r="J278" s="92" t="n">
        <x:v>0</x:v>
      </x:c>
      <x:c r="K278" s="92"/>
      <x:c r="L278" s="92"/>
      <x:c r="M278" s="92" t="str">
        <x:v>Use only at the stated supplied-stock strength.</x:v>
      </x:c>
      <x:c r="N278" s="92" t="str">
        <x:v>User confirmed ownership on 2026-08-07.</x:v>
      </x:c>
    </x:row>
    <x:row r="279">
      <x:c r="A279" s="92"/>
      <x:c r="B279" s="92" t="str">
        <x:v>Rhodinol ex Citronella</x:v>
      </x:c>
      <x:c r="C279" s="92" t="str">
        <x:v>HAVE — NATURAL FRACTION / PRODUCT BASIS</x:v>
      </x:c>
      <x:c r="D279" s="92" t="str">
        <x:v>Rhodinol ex Citronella as supplied; exact composition and lot not stated</x:v>
      </x:c>
      <x:c r="E279" s="92"/>
      <x:c r="F279" s="92" t="str">
        <x:v>Rose / floral</x:v>
      </x:c>
      <x:c r="G279" s="92"/>
      <x:c r="H279" s="92"/>
      <x:c r="I279" s="92" t="n">
        <x:v>0</x:v>
      </x:c>
      <x:c r="J279" s="92" t="n">
        <x:v>0</x:v>
      </x:c>
      <x:c r="K279" s="92"/>
      <x:c r="L279" s="92" t="str">
        <x:v>Natural fraction/product basis; do not reduce to one molecule.</x:v>
      </x:c>
      <x:c r="M279" s="92" t="str">
        <x:v>Use as named product basis with lot-specific provenance.</x:v>
      </x:c>
      <x:c r="N279" s="92" t="str">
        <x:v>User confirmed ownership on 2026-08-07.</x:v>
      </x:c>
    </x:row>
    <x:row r="280">
      <x:c r="A280" s="92"/>
      <x:c r="B280" s="92" t="str">
        <x:v>Citronellal</x:v>
      </x:c>
      <x:c r="C280" s="92" t="str">
        <x:v>HAVE — NEAT / AS SUPPLIED</x:v>
      </x:c>
      <x:c r="D280" s="92" t="str">
        <x:v>Citronellal neat/as supplied</x:v>
      </x:c>
      <x:c r="E280" s="92"/>
      <x:c r="F280" s="92" t="str">
        <x:v>Citrus / floral aldehyde</x:v>
      </x:c>
      <x:c r="G280" s="92"/>
      <x:c r="H280" s="92" t="n">
        <x:v>1</x:v>
      </x:c>
      <x:c r="I280" s="92" t="n">
        <x:v>0</x:v>
      </x:c>
      <x:c r="J280" s="92" t="n">
        <x:v>0</x:v>
      </x:c>
      <x:c r="K280" s="92"/>
      <x:c r="L280" s="92"/>
      <x:c r="M280" s="92" t="str">
        <x:v>Use only at the stated supplied-stock strength.</x:v>
      </x:c>
      <x:c r="N280" s="92" t="str">
        <x:v>User confirmed ownership on 2026-08-07.</x:v>
      </x:c>
    </x:row>
    <x:row r="281">
      <x:c r="A281" s="92"/>
      <x:c r="B281" s="92" t="str">
        <x:v>Phenethyl Acetate</x:v>
      </x:c>
      <x:c r="C281" s="92" t="str">
        <x:v>HAVE — NEAT / AS SUPPLIED</x:v>
      </x:c>
      <x:c r="D281" s="92" t="str">
        <x:v>Phenethyl Acetate neat/as supplied</x:v>
      </x:c>
      <x:c r="E281" s="92"/>
      <x:c r="F281" s="92" t="str">
        <x:v>Rose / floral ester</x:v>
      </x:c>
      <x:c r="G281" s="92"/>
      <x:c r="H281" s="92" t="n">
        <x:v>1</x:v>
      </x:c>
      <x:c r="I281" s="92" t="n">
        <x:v>0</x:v>
      </x:c>
      <x:c r="J281" s="92" t="n">
        <x:v>0</x:v>
      </x:c>
      <x:c r="K281" s="92"/>
      <x:c r="L281" s="92"/>
      <x:c r="M281" s="92" t="str">
        <x:v>Use only at the stated supplied-stock strength.</x:v>
      </x:c>
      <x:c r="N281" s="92" t="str">
        <x:v>User confirmed ownership on 2026-08-07.</x:v>
      </x:c>
    </x:row>
    <x:row r="282">
      <x:c r="A282" s="92"/>
      <x:c r="B282" s="92" t="str">
        <x:v>Gamma Nonalactone 10%</x:v>
      </x:c>
      <x:c r="C282" s="92" t="str">
        <x:v>HAVE — 10% / CARRIER UNSTATED</x:v>
      </x:c>
      <x:c r="D282" s="92" t="str">
        <x:v>Gamma Nonalactone 10%; carrier not stated</x:v>
      </x:c>
      <x:c r="E282" s="92"/>
      <x:c r="F282" s="92" t="str">
        <x:v>Lactone / fruit</x:v>
      </x:c>
      <x:c r="G282" s="92"/>
      <x:c r="H282" s="92" t="n">
        <x:v>0.1</x:v>
      </x:c>
      <x:c r="I282" s="92" t="n">
        <x:v>0</x:v>
      </x:c>
      <x:c r="J282" s="92" t="n">
        <x:v>0</x:v>
      </x:c>
      <x:c r="K282" s="92"/>
      <x:c r="L282" s="92"/>
      <x:c r="M282" s="92" t="str">
        <x:v>Use only at the stated supplied-stock strength.</x:v>
      </x:c>
      <x:c r="N282" s="92" t="str">
        <x:v>User confirmed ownership on 2026-08-07.</x:v>
      </x:c>
    </x:row>
    <x:row r="283">
      <x:c r="A283" s="92"/>
      <x:c r="B283" s="92" t="str">
        <x:v>Helichrysum EO</x:v>
      </x:c>
      <x:c r="C283" s="92" t="str">
        <x:v>HAVE — NEAT / LOT DETAIL OPEN</x:v>
      </x:c>
      <x:c r="D283" s="92" t="str">
        <x:v>Helichrysum EO neat/as supplied; botanical, origin and lot details not yet recorded</x:v>
      </x:c>
      <x:c r="E283" s="92"/>
      <x:c r="F283" s="92" t="str">
        <x:v>Aromatic / floral / honey</x:v>
      </x:c>
      <x:c r="G283" s="92"/>
      <x:c r="H283" s="92" t="n">
        <x:v>1</x:v>
      </x:c>
      <x:c r="I283" s="92" t="n">
        <x:v>0</x:v>
      </x:c>
      <x:c r="J283" s="92" t="n">
        <x:v>0</x:v>
      </x:c>
      <x:c r="K283" s="92"/>
      <x:c r="L283" s="92"/>
      <x:c r="M283" s="92" t="str">
        <x:v>Use only at the stated supplied-stock strength.</x:v>
      </x:c>
      <x:c r="N283" s="92" t="str">
        <x:v>User confirmed ownership on 2026-08-07.</x:v>
      </x:c>
    </x:row>
    <x:row r="284">
      <x:c r="A284" s="92"/>
      <x:c r="B284" s="92" t="str">
        <x:v>Cassis Base 345B</x:v>
      </x:c>
      <x:c r="C284" s="92" t="str">
        <x:v>HAVE — PRODUCT BASIS</x:v>
      </x:c>
      <x:c r="D284" s="92" t="str">
        <x:v>Cassis Base 345B as supplied</x:v>
      </x:c>
      <x:c r="E284" s="92"/>
      <x:c r="F284" s="92" t="str">
        <x:v>Blackcurrant / fruit</x:v>
      </x:c>
      <x:c r="G284" s="92"/>
      <x:c r="H284" s="92"/>
      <x:c r="I284" s="92" t="n">
        <x:v>0</x:v>
      </x:c>
      <x:c r="J284" s="92" t="n">
        <x:v>0</x:v>
      </x:c>
      <x:c r="K284" s="92"/>
      <x:c r="L284" s="92" t="str">
        <x:v>Opaque named base; do not expand into imagined constituents.</x:v>
      </x:c>
      <x:c r="M284" s="92" t="str">
        <x:v>Count once as product basis.</x:v>
      </x:c>
      <x:c r="N284" s="92" t="str">
        <x:v>User confirmed ownership on 2026-08-07.</x:v>
      </x:c>
    </x:row>
    <x:row r="285">
      <x:c r="A285" s="92"/>
      <x:c r="B285" s="92" t="str">
        <x:v>Benzyl Benzoate</x:v>
      </x:c>
      <x:c r="C285" s="92" t="str">
        <x:v>HAVE — NEAT / AS SUPPLIED</x:v>
      </x:c>
      <x:c r="D285" s="92" t="str">
        <x:v>Benzyl Benzoate neat/as supplied</x:v>
      </x:c>
      <x:c r="E285" s="92"/>
      <x:c r="F285" s="92" t="str">
        <x:v>Floral fixative / solvent</x:v>
      </x:c>
      <x:c r="G285" s="92"/>
      <x:c r="H285" s="92" t="n">
        <x:v>1</x:v>
      </x:c>
      <x:c r="I285" s="92" t="n">
        <x:v>0</x:v>
      </x:c>
      <x:c r="J285" s="92" t="n">
        <x:v>0</x:v>
      </x:c>
      <x:c r="K285" s="92"/>
      <x:c r="L285" s="92"/>
      <x:c r="M285" s="92" t="str">
        <x:v>Use only at the stated supplied-stock strength.</x:v>
      </x:c>
      <x:c r="N285" s="92" t="str">
        <x:v>User confirmed ownership on 2026-08-07.</x:v>
      </x:c>
    </x:row>
  </x:sheetData>
  <x:mergeCells>
    <x:mergeCell ref="A1:N1"/>
    <x:mergeCell ref="A2:N3"/>
  </x:mergeCells>
  <x:conditionalFormatting sqref="C6:C252">
    <x:cfRule type="expression" dxfId="3" priority="1">
      <x:formula>LEFT(C6,4)="HAVE"</x:formula>
    </x:cfRule>
    <x:cfRule type="expression" dxfId="4" priority="2">
      <x:formula>OR(ISNUMBER(SEARCH("GAP",C6)),ISNUMBER(SEARCH("OUT OF STOCK",C6)))</x:formula>
    </x:cfRule>
    <x:cfRule type="expression" dxfId="5" priority="3">
      <x:formula>ISNUMBER(SEARCH("BANNED",C6))</x:formula>
    </x:cfRule>
    <x:cfRule type="expression" dxfId="6" priority="4">
      <x:formula>OR(ISNUMBER(SEARCH("VERIFY",C6)),ISNUMBER(SEARCH("UNSURE",C6)),ISNUMBER(SEARCH("CUSTOM",C6)))</x:formula>
    </x:cfRule>
    <x:cfRule type="expression" dxfId="7" priority="5">
      <x:formula>ISNUMBER(SEARCH("PRODUCT BASIS",C6))</x:formula>
    </x:cfRule>
    <x:cfRule type="expression" dxfId="8" priority="6">
      <x:formula>ISNUMBER(SEARCH("DUPLICATE",C6))</x:formula>
    </x:cfRule>
  </x:conditionalFormatting>
  <x:conditionalFormatting sqref="I6:I252">
    <x:cfRule type="dataBar" priority="7">
      <x:dataBar>
        <x:cfvo type="min"/>
        <x:cfvo type="max"/>
        <x:color rgb="FF1F5B62"/>
      </x:dataBar>
      <x:extLst>
        <x:ext xmlns:x14="http://schemas.microsoft.com/office/spreadsheetml/2009/9/main" uri="{B025F937-C7B1-47D3-B67F-A62EFF666E3E}">
          <x14:id>{4C4B8751-4036-3117-C127-35F8FD0578F9}</x14:id>
        </x:ext>
      </x:extLst>
    </x:cfRule>
  </x:conditionalFormatting>
  <x:conditionalFormatting sqref="C253:C253">
    <x:cfRule type="expression" dxfId="25" priority="8">
      <x:formula>LEFT(C253,4)="HAVE"</x:formula>
    </x:cfRule>
  </x:conditionalFormatting>
  <x:conditionalFormatting sqref="C6:C255">
    <x:cfRule type="expression" dxfId="30" priority="9">
      <x:formula>ISNUMBER(SEARCH("CONSTRUCTIBLE",C6))</x:formula>
    </x:cfRule>
    <x:cfRule type="expression" dxfId="31" priority="10">
      <x:formula>ISNUMBER(SEARCH("RESOLVED",C6))</x:formula>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7" id="{4C4B8751-4036-3117-C127-35F8FD0578F9}">
            <x14:dataBar gradient="1">
              <x14:cfvo type="min"/>
              <x14:cfvo type="max"/>
              <x14:fillColor rgb="FF1F5B62"/>
            </x14:dataBar>
          </x14:cfRule>
          <xm:sqref>I6:I252</xm:sqref>
        </x14:conditionalFormatting>
      </x14:conditionalFormattings>
    </x:ext>
  </x:extLst>
</x:worksheet>
</file>

<file path=xl/worksheets/sheet6.xml><?xml version="1.0" encoding="utf-8"?>
<x:worksheet xmlns:x="http://schemas.openxmlformats.org/spreadsheetml/2006/main">
  <x:sheetFormatPr defaultRowHeight="15"/>
  <x:cols>
    <x:col min="1" max="1" width="8" hidden="0" customWidth="1"/>
    <x:col min="2" max="2" width="33" hidden="0" customWidth="1"/>
    <x:col min="3" max="3" width="42" hidden="0" customWidth="1"/>
    <x:col min="4" max="4" width="13" hidden="0" customWidth="1"/>
    <x:col min="5" max="5" width="24" hidden="0" customWidth="1"/>
    <x:col min="6" max="6" width="30" hidden="0" customWidth="1"/>
    <x:col min="7" max="7" width="48" hidden="0" customWidth="1"/>
    <x:col min="8" max="8" width="40" hidden="0" customWidth="1"/>
    <x:col min="9" max="9" width="34" hidden="0" customWidth="1"/>
    <x:col min="10" max="10" width="48" hidden="0" customWidth="1"/>
    <x:col min="11" max="11" width="65" hidden="0" customWidth="1"/>
    <x:col min="12" max="12" width="55" hidden="0" customWidth="1"/>
    <x:col min="13" max="13" width="72" hidden="0" customWidth="1"/>
  </x:cols>
  <x:sheetData>
    <x:row r="1" ht="31" customHeight="1">
      <x:c r="A1" s="55" t="str">
        <x:v>ORIGINAL 207-ITEM CHECKLIST • APPLIED USER CORRECTIONS</x:v>
      </x:c>
      <x:c r="B1" s="55"/>
      <x:c r="C1" s="55"/>
      <x:c r="D1" s="55"/>
      <x:c r="E1" s="55"/>
      <x:c r="F1" s="55"/>
      <x:c r="G1" s="55"/>
      <x:c r="H1" s="55"/>
      <x:c r="I1" s="55"/>
      <x:c r="J1" s="55"/>
      <x:c r="K1" s="55"/>
      <x:c r="L1" s="55"/>
      <x:c r="M1" s="55"/>
    </x:row>
    <x:row r="2" ht="34" customHeight="1">
      <x:c r="A2" s="60" t="str">
        <x:v>This sheet preserves the numbered checklist exactly enough to trace each correction, merge, ban or stock-strength change.</x:v>
      </x:c>
      <x:c r="B2" s="60"/>
      <x:c r="C2" s="60"/>
      <x:c r="D2" s="60"/>
      <x:c r="E2" s="60"/>
      <x:c r="F2" s="60"/>
      <x:c r="G2" s="60"/>
      <x:c r="H2" s="60"/>
      <x:c r="I2" s="60"/>
      <x:c r="J2" s="60"/>
      <x:c r="K2" s="60"/>
      <x:c r="L2" s="60"/>
      <x:c r="M2" s="60"/>
    </x:row>
    <x:row r="3" ht="34" customHeight="1">
      <x:c r="A3" s="60"/>
      <x:c r="B3" s="60"/>
      <x:c r="C3" s="60"/>
      <x:c r="D3" s="60"/>
      <x:c r="E3" s="60"/>
      <x:c r="F3" s="60"/>
      <x:c r="G3" s="60"/>
      <x:c r="H3" s="60"/>
      <x:c r="I3" s="60"/>
      <x:c r="J3" s="60"/>
      <x:c r="K3" s="60"/>
      <x:c r="L3" s="60"/>
      <x:c r="M3" s="60"/>
    </x:row>
    <x:row r="5">
      <x:c r="A5" s="81" t="str">
        <x:v>#</x:v>
      </x:c>
      <x:c r="B5" s="81" t="str">
        <x:v>Original material</x:v>
      </x:c>
      <x:c r="C5" s="81" t="str">
        <x:v>Prior stock</x:v>
      </x:c>
      <x:c r="D5" s="81" t="str">
        <x:v>Prior active</x:v>
      </x:c>
      <x:c r="E5" s="81" t="str">
        <x:v>Prior execution</x:v>
      </x:c>
      <x:c r="F5" s="81" t="str">
        <x:v>Corrected status</x:v>
      </x:c>
      <x:c r="G5" s="81" t="str">
        <x:v>Actual stock</x:v>
      </x:c>
      <x:c r="H5" s="81" t="str">
        <x:v>Can prepare</x:v>
      </x:c>
      <x:c r="I5" s="81" t="str">
        <x:v>Canonical material</x:v>
      </x:c>
      <x:c r="J5" s="81" t="str">
        <x:v>Alias / replacement</x:v>
      </x:c>
      <x:c r="K5" s="81" t="str">
        <x:v>Policy</x:v>
      </x:c>
      <x:c r="L5" s="81" t="str">
        <x:v>User note</x:v>
      </x:c>
      <x:c r="M5" s="81" t="str">
        <x:v>Prior target IDs</x:v>
      </x:c>
    </x:row>
    <x:row r="6" ht="45" customHeight="1">
      <x:c r="A6" s="44" t="n">
        <x:v>1</x:v>
      </x:c>
      <x:c r="B6" s="44" t="str">
        <x:v>Allyl Amyl Glycolate (AAG)</x:v>
      </x:c>
      <x:c r="C6" s="44" t="str">
        <x:v>10% prepared from neat AAG</x:v>
      </x:c>
      <x:c r="D6" s="46" t="n">
        <x:v>0.1</x:v>
      </x:c>
      <x:c r="E6" s="44" t="str">
        <x:v>green_fruit</x:v>
      </x:c>
      <x:c r="F6" s="44" t="str">
        <x:v>HAVE — NEAT</x:v>
      </x:c>
      <x:c r="G6" s="44" t="str">
        <x:v>Allyl Amyl Glycolate neat/as supplied; CAS 67634-00-8</x:v>
      </x:c>
      <x:c r="H6" s="44" t="str">
        <x:v>Prepare 10% in DPG or TEC when required.</x:v>
      </x:c>
      <x:c r="I6" s="44" t="str">
        <x:v>Allyl Amyl Glycolate (AAG)</x:v>
      </x:c>
      <x:c r="J6" s="44" t="str">
        <x:v>PerfumersWorld canonical identity.</x:v>
      </x:c>
      <x:c r="K6" s="44" t="str">
        <x:v>Recalculate old 10% formula rows against the actual stock.</x:v>
      </x:c>
      <x:c r="L6" s="44" t="str">
        <x:v>User and PerfumersWorld identity resolved.</x:v>
      </x:c>
      <x:c r="M6" s="44" t="str">
        <x:v>H05, H13, H15, Y02, Y10, Y13</x:v>
      </x:c>
    </x:row>
    <x:row r="7" ht="45" customHeight="1">
      <x:c r="A7" s="44" t="n">
        <x:v>2</x:v>
      </x:c>
      <x:c r="B7" s="44" t="str">
        <x:v>Aldehyde C10 1%</x:v>
      </x:c>
      <x:c r="C7" s="44" t="str">
        <x:v>1% working stock</x:v>
      </x:c>
      <x:c r="D7" s="46" t="n">
        <x:v>0.01</x:v>
      </x:c>
      <x:c r="E7" s="44" t="str">
        <x:v>PREPARED STOCK</x:v>
      </x:c>
      <x:c r="F7" s="44" t="str">
        <x:v>HAVE</x:v>
      </x:c>
      <x:c r="G7" s="44" t="str">
        <x:v>1% working stock</x:v>
      </x:c>
      <x:c r="H7" s="44" t="str"/>
      <x:c r="I7" s="44" t="str">
        <x:v>Aldehyde C10 1%</x:v>
      </x:c>
      <x:c r="J7" s="44" t="str"/>
      <x:c r="K7" s="44" t="str">
        <x:v>Use only at the listed supplied-stock strength.</x:v>
      </x:c>
      <x:c r="L7" s="44" t="str">
        <x:v>Unchanged from prior register.</x:v>
      </x:c>
      <x:c r="M7" s="44" t="str">
        <x:v>C01, C02, C03, C04, C06, C07, C08, O01, O02, O03, O04, O05, O06, Y01, Y02, Y04, Y05, Y06, Y07, Y08, Y09, Y10, Y11, Y12, Y13, Y14</x:v>
      </x:c>
    </x:row>
    <x:row r="8" ht="45" customHeight="1">
      <x:c r="A8" s="44" t="n">
        <x:v>3</x:v>
      </x:c>
      <x:c r="B8" s="44" t="str">
        <x:v>Aldehyde C10 10%</x:v>
      </x:c>
      <x:c r="C8" s="44" t="str">
        <x:v>10% working dilution</x:v>
      </x:c>
      <x:c r="D8" s="46" t="n">
        <x:v>0.1</x:v>
      </x:c>
      <x:c r="E8" s="44" t="str">
        <x:v>PREPARED STOCK</x:v>
      </x:c>
      <x:c r="F8" s="44" t="str">
        <x:v>HAVE</x:v>
      </x:c>
      <x:c r="G8" s="44" t="str">
        <x:v>10% working dilution</x:v>
      </x:c>
      <x:c r="H8" s="44" t="str"/>
      <x:c r="I8" s="44" t="str">
        <x:v>Aldehyde C10 10%</x:v>
      </x:c>
      <x:c r="J8" s="44" t="str"/>
      <x:c r="K8" s="44" t="str">
        <x:v>Use only at the listed supplied-stock strength.</x:v>
      </x:c>
      <x:c r="L8" s="44" t="str">
        <x:v>Unchanged from prior register.</x:v>
      </x:c>
      <x:c r="M8" s="44" t="str">
        <x:v>AM-E04, AM-E12, AM-E13, AM-E16, AM-L01, AM-L02, AM-L03, AM-L07, AM-N01, AM-N02, AM-N04, AM-N06, AM-N07, AM-N13, AM-N14, AM-N15, H09, PR-E01, PR-E05, PR-L02, PR-N03, PR-N08, PR-N09, PR-N10, PR-N11, PR-N12, PR-N13</x:v>
      </x:c>
    </x:row>
    <x:row r="9" ht="45" customHeight="1">
      <x:c r="A9" s="44" t="n">
        <x:v>4</x:v>
      </x:c>
      <x:c r="B9" s="44" t="str">
        <x:v>Aldehyde C11 1%</x:v>
      </x:c>
      <x:c r="C9" s="44" t="str">
        <x:v>1% working stock</x:v>
      </x:c>
      <x:c r="D9" s="46" t="n">
        <x:v>0.01</x:v>
      </x:c>
      <x:c r="E9" s="44" t="str">
        <x:v>PREPARED STOCK</x:v>
      </x:c>
      <x:c r="F9" s="44" t="str">
        <x:v>HAVE</x:v>
      </x:c>
      <x:c r="G9" s="44" t="str">
        <x:v>1% working stock</x:v>
      </x:c>
      <x:c r="H9" s="44" t="str"/>
      <x:c r="I9" s="44" t="str">
        <x:v>Aldehyde C11 1%</x:v>
      </x:c>
      <x:c r="J9" s="44" t="str"/>
      <x:c r="K9" s="44" t="str">
        <x:v>Use only at the listed supplied-stock strength.</x:v>
      </x:c>
      <x:c r="L9" s="44" t="str">
        <x:v>Unchanged from prior register.</x:v>
      </x:c>
      <x:c r="M9" s="44" t="str">
        <x:v>C01, C02, C03, C04, C06, C07, C08, O02, O03, O04, O05, O06, Y01, Y02, Y03, Y04, Y05, Y06, Y07, Y08, Y09, Y10, Y11, Y12, Y13, Y14</x:v>
      </x:c>
    </x:row>
    <x:row r="10" ht="45" customHeight="1">
      <x:c r="A10" s="44" t="n">
        <x:v>5</x:v>
      </x:c>
      <x:c r="B10" s="44" t="str">
        <x:v>Aldehyde C11 10%</x:v>
      </x:c>
      <x:c r="C10" s="44" t="str">
        <x:v>10% working dilution</x:v>
      </x:c>
      <x:c r="D10" s="46" t="n">
        <x:v>0.1</x:v>
      </x:c>
      <x:c r="E10" s="44" t="str">
        <x:v>PREPARED STOCK</x:v>
      </x:c>
      <x:c r="F10" s="44" t="str">
        <x:v>HAVE</x:v>
      </x:c>
      <x:c r="G10" s="44" t="str">
        <x:v>10% working dilution</x:v>
      </x:c>
      <x:c r="H10" s="44" t="str"/>
      <x:c r="I10" s="44" t="str">
        <x:v>Aldehyde C11 10%</x:v>
      </x:c>
      <x:c r="J10" s="44" t="str"/>
      <x:c r="K10" s="44" t="str">
        <x:v>Use only at the listed supplied-stock strength.</x:v>
      </x:c>
      <x:c r="L10" s="44" t="str">
        <x:v>Unchanged from prior register.</x:v>
      </x:c>
      <x:c r="M10" s="44" t="str">
        <x:v>AM-E12, AM-E13, AM-E16, AM-L01, AM-L02, AM-N02, AM-N04, AM-N06, AM-N13, AM-N14, AM-N15, H09, PR-E01, PR-L02, PR-N03, PR-N08, PR-N10, PR-N12, PR-N13</x:v>
      </x:c>
    </x:row>
    <x:row r="11" ht="45" customHeight="1">
      <x:c r="A11" s="44" t="n">
        <x:v>6</x:v>
      </x:c>
      <x:c r="B11" s="44" t="str">
        <x:v>Aldehyde C12 MNA 1%</x:v>
      </x:c>
      <x:c r="C11" s="44" t="str">
        <x:v>1% working stock</x:v>
      </x:c>
      <x:c r="D11" s="46" t="n">
        <x:v>0.01</x:v>
      </x:c>
      <x:c r="E11" s="44" t="str">
        <x:v>PREPARED STOCK</x:v>
      </x:c>
      <x:c r="F11" s="44" t="str">
        <x:v>HAVE</x:v>
      </x:c>
      <x:c r="G11" s="44" t="str">
        <x:v>1% working stock</x:v>
      </x:c>
      <x:c r="H11" s="44" t="str"/>
      <x:c r="I11" s="44" t="str">
        <x:v>Aldehyde C12 MNA 1%</x:v>
      </x:c>
      <x:c r="J11" s="44" t="str"/>
      <x:c r="K11" s="44" t="str">
        <x:v>Use only at the listed supplied-stock strength.</x:v>
      </x:c>
      <x:c r="L11" s="44" t="str">
        <x:v>Unchanged from prior register.</x:v>
      </x:c>
      <x:c r="M11" s="44" t="str">
        <x:v>C01, C02, C03, C04, C06, C07, H10, H14, H15, O03, O04, O05, O06, S01, S02, S04, S08, Y02, Y04, Y05, Y06, Y07, Y09, Y10, Y11, Y12, Y13, Y14</x:v>
      </x:c>
    </x:row>
    <x:row r="12" ht="45" customHeight="1">
      <x:c r="A12" s="44" t="n">
        <x:v>7</x:v>
      </x:c>
      <x:c r="B12" s="44" t="str">
        <x:v>Aldehyde C12 MNA 10%</x:v>
      </x:c>
      <x:c r="C12" s="44" t="str">
        <x:v>10% working dilution</x:v>
      </x:c>
      <x:c r="D12" s="46" t="n">
        <x:v>0.1</x:v>
      </x:c>
      <x:c r="E12" s="44" t="str">
        <x:v>PREPARED STOCK</x:v>
      </x:c>
      <x:c r="F12" s="44" t="str">
        <x:v>HAVE</x:v>
      </x:c>
      <x:c r="G12" s="44" t="str">
        <x:v>10% working dilution</x:v>
      </x:c>
      <x:c r="H12" s="44" t="str"/>
      <x:c r="I12" s="44" t="str">
        <x:v>Aldehyde C12 MNA 10%</x:v>
      </x:c>
      <x:c r="J12" s="44" t="str"/>
      <x:c r="K12" s="44" t="str">
        <x:v>Use only at the listed supplied-stock strength.</x:v>
      </x:c>
      <x:c r="L12" s="44" t="str">
        <x:v>Unchanged from prior register.</x:v>
      </x:c>
      <x:c r="M12" s="44" t="str">
        <x:v>AM-E12, AM-E16, AM-L01, AM-L02, AM-N02, AM-N04, AM-N06, AM-N14, AM-N15, H09, PR-E01, PR-L02, PR-N03, PR-N08, PR-N10</x:v>
      </x:c>
    </x:row>
    <x:row r="13" ht="45" customHeight="1">
      <x:c r="A13" s="44" t="n">
        <x:v>8</x:v>
      </x:c>
      <x:c r="B13" s="44" t="str">
        <x:v>Aldehyde C16 EMPG 10%</x:v>
      </x:c>
      <x:c r="C13" s="44" t="str">
        <x:v>10% working dilution</x:v>
      </x:c>
      <x:c r="D13" s="46" t="n">
        <x:v>0.1</x:v>
      </x:c>
      <x:c r="E13" s="44" t="str">
        <x:v>PREPARED STOCK</x:v>
      </x:c>
      <x:c r="F13" s="44" t="str">
        <x:v>HAVE</x:v>
      </x:c>
      <x:c r="G13" s="44" t="str">
        <x:v>10% working dilution</x:v>
      </x:c>
      <x:c r="H13" s="44" t="str"/>
      <x:c r="I13" s="44" t="str">
        <x:v>Aldehyde C16 EMPG 10%</x:v>
      </x:c>
      <x:c r="J13" s="44" t="str"/>
      <x:c r="K13" s="44" t="str">
        <x:v>Use only at the listed supplied-stock strength.</x:v>
      </x:c>
      <x:c r="L13" s="44" t="str">
        <x:v>Unchanged from prior register.</x:v>
      </x:c>
      <x:c r="M13" s="44" t="str">
        <x:v>AM-E02, AM-E06, AM-E13, AM-L02, AM-L04, AM-N03, AM-N06, AM-N09, AM-N10, AM-N13</x:v>
      </x:c>
    </x:row>
    <x:row r="14" ht="45" customHeight="1">
      <x:c r="A14" s="44" t="n">
        <x:v>9</x:v>
      </x:c>
      <x:c r="B14" s="44" t="str">
        <x:v>Allyl Cyclohexyl Propionate 10%</x:v>
      </x:c>
      <x:c r="C14" s="44" t="str">
        <x:v>10% working stock</x:v>
      </x:c>
      <x:c r="D14" s="46" t="n">
        <x:v>0.1</x:v>
      </x:c>
      <x:c r="E14" s="44" t="str">
        <x:v>PREPARED STOCK</x:v>
      </x:c>
      <x:c r="F14" s="44" t="str">
        <x:v>HAVE</x:v>
      </x:c>
      <x:c r="G14" s="44" t="str">
        <x:v>10% working stock</x:v>
      </x:c>
      <x:c r="H14" s="44" t="str"/>
      <x:c r="I14" s="44" t="str">
        <x:v>Allyl Cyclohexyl Propionate 10%</x:v>
      </x:c>
      <x:c r="J14" s="44" t="str"/>
      <x:c r="K14" s="44" t="str">
        <x:v>Use only at the listed supplied-stock strength.</x:v>
      </x:c>
      <x:c r="L14" s="44" t="str">
        <x:v>Unchanged from prior register.</x:v>
      </x:c>
      <x:c r="M14" s="44" t="str">
        <x:v>AM-E01, AM-E02, AM-E05, AM-E06, AM-L02, AM-L04, AM-N03, AM-N06, AM-N09, AM-N10, H05</x:v>
      </x:c>
    </x:row>
    <x:row r="15" ht="45" customHeight="1">
      <x:c r="A15" s="44" t="n">
        <x:v>10</x:v>
      </x:c>
      <x:c r="B15" s="44" t="str">
        <x:v>Allyl Ionone 10%</x:v>
      </x:c>
      <x:c r="C15" s="44" t="str">
        <x:v>10% working dilution</x:v>
      </x:c>
      <x:c r="D15" s="46" t="n">
        <x:v>0.1</x:v>
      </x:c>
      <x:c r="E15" s="44" t="str">
        <x:v>PREPARED STOCK</x:v>
      </x:c>
      <x:c r="F15" s="44" t="str">
        <x:v>HAVE — NEAT ONLY</x:v>
      </x:c>
      <x:c r="G15" s="44" t="str">
        <x:v>Allyl Ionone neat</x:v>
      </x:c>
      <x:c r="H15" s="44" t="str">
        <x:v>Can prepare 10% working dilution.</x:v>
      </x:c>
      <x:c r="I15" s="44" t="str">
        <x:v>Allyl Ionone 10%</x:v>
      </x:c>
      <x:c r="J15" s="44" t="str"/>
      <x:c r="K15" s="44" t="str">
        <x:v>Use only at the listed supplied-stock strength.</x:v>
      </x:c>
      <x:c r="L15" s="44" t="str">
        <x:v>Listed 10% stock is not currently prepared.</x:v>
      </x:c>
      <x:c r="M15" s="44" t="str">
        <x:v>PR-N11</x:v>
      </x:c>
    </x:row>
    <x:row r="16" ht="45" customHeight="1">
      <x:c r="A16" s="44" t="n">
        <x:v>11</x:v>
      </x:c>
      <x:c r="B16" s="44" t="str">
        <x:v>Alpha Ionone</x:v>
      </x:c>
      <x:c r="C16" s="44" t="str">
        <x:v>neat / as supplied</x:v>
      </x:c>
      <x:c r="D16" s="46" t="n">
        <x:v>1</x:v>
      </x:c>
      <x:c r="E16" s="44" t="str">
        <x:v>DIRECT</x:v>
      </x:c>
      <x:c r="F16" s="44" t="str">
        <x:v>HAVE</x:v>
      </x:c>
      <x:c r="G16" s="44" t="str">
        <x:v>neat / as supplied</x:v>
      </x:c>
      <x:c r="H16" s="44" t="str"/>
      <x:c r="I16" s="44" t="str">
        <x:v>Alpha Ionone</x:v>
      </x:c>
      <x:c r="J16" s="44" t="str"/>
      <x:c r="K16" s="44" t="str">
        <x:v>Use only at the listed supplied-stock strength.</x:v>
      </x:c>
      <x:c r="L16" s="44" t="str">
        <x:v>Unchanged from prior register.</x:v>
      </x:c>
      <x:c r="M16" s="44" t="str">
        <x:v>AM-E01, AM-E02, AM-E05, AM-E06, AM-E08, AM-E09, AM-E10, AM-L04, AM-L07, AM-L08, AM-L09, AM-N01, AM-N04, AM-N05, AM-N06, AM-N12, AM-N16, H01, H02, H04, H05, H06, H07, H08, O01, O02, O03, O04, PR-E02, PR-N02, PR-N11</x:v>
      </x:c>
    </x:row>
    <x:row r="17" ht="45" customHeight="1">
      <x:c r="A17" s="44" t="n">
        <x:v>12</x:v>
      </x:c>
      <x:c r="B17" s="44" t="str">
        <x:v>Alpha Irone 10%</x:v>
      </x:c>
      <x:c r="C17" s="44" t="str">
        <x:v>10% working stock</x:v>
      </x:c>
      <x:c r="D17" s="46" t="n">
        <x:v>0.1</x:v>
      </x:c>
      <x:c r="E17" s="44" t="str">
        <x:v>PREPARED STOCK</x:v>
      </x:c>
      <x:c r="F17" s="44" t="str">
        <x:v>GAP</x:v>
      </x:c>
      <x:c r="G17" s="44" t="str"/>
      <x:c r="H17" s="44" t="str"/>
      <x:c r="I17" s="44" t="str">
        <x:v>Alpha Irone 10%</x:v>
      </x:c>
      <x:c r="J17" s="44" t="str"/>
      <x:c r="K17" s="44" t="str">
        <x:v>Do not use Alpha Irone 10%; item 13 remains a separate 30% stock.</x:v>
      </x:c>
      <x:c r="L17" s="44" t="str">
        <x:v>User does not have Alpha Irone 10%.</x:v>
      </x:c>
      <x:c r="M17" s="44" t="str">
        <x:v>AM-E01, AM-E09, AM-E10, AM-L08, AM-N01, AM-N12, AM-N16, PR-L03, PR-N02, PR-N08, PR-N10, PR-N11</x:v>
      </x:c>
    </x:row>
    <x:row r="18" ht="45" customHeight="1">
      <x:c r="A18" s="44" t="n">
        <x:v>13</x:v>
      </x:c>
      <x:c r="B18" s="44" t="str">
        <x:v>Alpha Irone 30%</x:v>
      </x:c>
      <x:c r="C18" s="44" t="str">
        <x:v>30% w/w in IPM</x:v>
      </x:c>
      <x:c r="D18" s="46" t="n">
        <x:v>0.3</x:v>
      </x:c>
      <x:c r="E18" s="44" t="str">
        <x:v>TRACE PREMIX</x:v>
      </x:c>
      <x:c r="F18" s="44" t="str">
        <x:v>HAVE</x:v>
      </x:c>
      <x:c r="G18" s="44" t="str">
        <x:v>30% w/w in IPM</x:v>
      </x:c>
      <x:c r="H18" s="44" t="str"/>
      <x:c r="I18" s="44" t="str">
        <x:v>Alpha Irone 30%</x:v>
      </x:c>
      <x:c r="J18" s="44" t="str"/>
      <x:c r="K18" s="44" t="str">
        <x:v>Use only at the listed supplied-stock strength.</x:v>
      </x:c>
      <x:c r="L18" s="44" t="str">
        <x:v>Unchanged from prior register.</x:v>
      </x:c>
      <x:c r="M18" s="44" t="str">
        <x:v>C01, C03, H01, H02, H04, H05, H06, H07, H08, O01, O02, O04, PR-E02, PR-L04, Y06, Y07, Y09, Y10, Y11, Y12, Y13</x:v>
      </x:c>
    </x:row>
    <x:row r="19" ht="45" customHeight="1">
      <x:c r="A19" s="44" t="n">
        <x:v>14</x:v>
      </x:c>
      <x:c r="B19" s="44" t="str">
        <x:v>Alpha Isomethyl Ionone</x:v>
      </x:c>
      <x:c r="C19" s="44" t="str">
        <x:v>neat / as supplied</x:v>
      </x:c>
      <x:c r="D19" s="46" t="n">
        <x:v>1</x:v>
      </x:c>
      <x:c r="E19" s="44" t="str">
        <x:v>DIRECT</x:v>
      </x:c>
      <x:c r="F19" s="44" t="str">
        <x:v>HAVE</x:v>
      </x:c>
      <x:c r="G19" s="44" t="str">
        <x:v>neat / as supplied</x:v>
      </x:c>
      <x:c r="H19" s="44" t="str"/>
      <x:c r="I19" s="44" t="str">
        <x:v>Alpha Isomethyl Ionone</x:v>
      </x:c>
      <x:c r="J19" s="44" t="str"/>
      <x:c r="K19" s="44" t="str">
        <x:v>Use only at the listed supplied-stock strength.</x:v>
      </x:c>
      <x:c r="L19" s="44" t="str">
        <x:v>Unchanged from prior register.</x:v>
      </x:c>
      <x:c r="M19" s="44" t="str">
        <x:v>AM-E01, AM-E02, AM-E05, AM-E06, AM-E08, AM-E09, AM-E10, AM-E11, AM-L01, AM-L03, AM-L04, AM-L05, AM-L06, AM-L07, AM-L08, AM-L09, AM-N01, AM-N04, AM-N05, AM-N06, AM-N08, AM-N09, AM-N12, AM-N13, AM-N16, H01, H02, H04, H05, H06, H07, H08, H10, H12, O01, O02, O04, O05, PR-E01, PR-E02, PR-E05, PR-L03, PR-L04, PR-L05, PR-N02, PR-N03, PR-N04, PR-N11, Y01, Y03, Y04, Y06, Y07, Y09, Y11</x:v>
      </x:c>
    </x:row>
    <x:row r="20" ht="45" customHeight="1">
      <x:c r="A20" s="44" t="n">
        <x:v>15</x:v>
      </x:c>
      <x:c r="B20" s="44" t="str">
        <x:v>Amber Core 10%</x:v>
      </x:c>
      <x:c r="C20" s="44" t="str">
        <x:v>10% in DPG</x:v>
      </x:c>
      <x:c r="D20" s="46" t="n">
        <x:v>0.1</x:v>
      </x:c>
      <x:c r="E20" s="44" t="str">
        <x:v>PREPARED STOCK</x:v>
      </x:c>
      <x:c r="F20" s="44" t="str">
        <x:v>GAP</x:v>
      </x:c>
      <x:c r="G20" s="44" t="str"/>
      <x:c r="H20" s="44" t="str"/>
      <x:c r="I20" s="44" t="str">
        <x:v>Amber Core 10%</x:v>
      </x:c>
      <x:c r="J20" s="44" t="str"/>
      <x:c r="K20" s="44" t="str">
        <x:v>Remove from inventory-fit formulas; do not replace without target evidence.</x:v>
      </x:c>
      <x:c r="L20" s="44" t="str">
        <x:v>User confirmed not in stock.</x:v>
      </x:c>
      <x:c r="M20" s="44" t="str">
        <x:v>AM-E01, AM-E02, AM-E03, AM-E04, AM-E05, AM-E06, AM-E07, AM-E08, AM-E10, AM-E11, AM-E12, AM-E13, AM-E14, AM-E15, AM-E16, AM-L01, AM-L02, AM-L03, AM-L04, AM-L05, AM-L06, AM-L07, AM-L08, AM-L09, AM-N01, AM-N02, AM-N03, AM-N04, AM-N05, AM-N06, AM-N07, AM-N08, AM-N09, AM-N10, AM-N11, AM-N12, AM-N13, AM-N14, AM-N15, AM-N16, C05, C07, C08, PR-E09, PR-N01, PR-N06, Y01, Y08</x:v>
      </x:c>
    </x:row>
    <x:row r="21" ht="45" customHeight="1">
      <x:c r="A21" s="44" t="n">
        <x:v>16</x:v>
      </x:c>
      <x:c r="B21" s="44" t="str">
        <x:v>Amber Xtreme 0.1%</x:v>
      </x:c>
      <x:c r="C21" s="44" t="str">
        <x:v>0.1% in DPG</x:v>
      </x:c>
      <x:c r="D21" s="46" t="n">
        <x:v>0.001</x:v>
      </x:c>
      <x:c r="E21" s="44" t="str">
        <x:v>TRACE PREMIX</x:v>
      </x:c>
      <x:c r="F21" s="44" t="str">
        <x:v>GAP</x:v>
      </x:c>
      <x:c r="G21" s="44" t="str"/>
      <x:c r="H21" s="44" t="str"/>
      <x:c r="I21" s="44" t="str">
        <x:v>Amber Xtreme 0.1%</x:v>
      </x:c>
      <x:c r="J21" s="44" t="str"/>
      <x:c r="K21" s="44" t="str">
        <x:v>Remove from inventory-fit formulas; do not replace without target evidence.</x:v>
      </x:c>
      <x:c r="L21" s="44" t="str">
        <x:v>User confirmed not in stock.</x:v>
      </x:c>
      <x:c r="M21" s="44" t="str">
        <x:v>AM-E01, AM-E02, AM-E03, AM-E04, AM-E05, AM-E06, AM-E07, AM-E08, AM-E09, AM-E10, AM-E11, AM-E12, AM-E13, AM-E14, AM-E15, AM-E16, AM-L01, AM-L02, AM-L03, AM-L04, AM-L05, AM-L06, AM-L07, AM-L08, AM-L09, AM-N01, AM-N02, AM-N03, AM-N04, AM-N05, AM-N06, AM-N07, AM-N08, AM-N09, AM-N10, AM-N11, AM-N12, AM-N13, AM-N14, AM-N15, AM-N16, C07, C08, PR-E03, PR-E06, PR-N09, Y01</x:v>
      </x:c>
    </x:row>
    <x:row r="22" ht="45" customHeight="1">
      <x:c r="A22" s="44" t="n">
        <x:v>17</x:v>
      </x:c>
      <x:c r="B22" s="44" t="str">
        <x:v>Ambergris Accord</x:v>
      </x:c>
      <x:c r="C22" s="44" t="str">
        <x:v>target-required accord</x:v>
      </x:c>
      <x:c r="D22" s="46" t="n">
        <x:v>1</x:v>
      </x:c>
      <x:c r="E22" s="44" t="str">
        <x:v>TARGET REQUIRED / INVENTORY GAP</x:v>
      </x:c>
      <x:c r="F22" s="44" t="str">
        <x:v>GAP</x:v>
      </x:c>
      <x:c r="G22" s="44" t="str"/>
      <x:c r="H22" s="44" t="str"/>
      <x:c r="I22" s="44" t="str">
        <x:v>Ambergris Accord</x:v>
      </x:c>
      <x:c r="J22" s="44" t="str"/>
      <x:c r="K22" s="44" t="str">
        <x:v>Remove from inventory-fit formulas; do not replace without target evidence.</x:v>
      </x:c>
      <x:c r="L22" s="44" t="str">
        <x:v>User confirmed not in stock.</x:v>
      </x:c>
      <x:c r="M22" s="44" t="str">
        <x:v>AM-N07, AM-N13, AM-N15, O06</x:v>
      </x:c>
    </x:row>
    <x:row r="23" ht="45" customHeight="1">
      <x:c r="A23" s="44" t="n">
        <x:v>18</x:v>
      </x:c>
      <x:c r="B23" s="44" t="str">
        <x:v>Ambermax 50%</x:v>
      </x:c>
      <x:c r="C23" s="44" t="str">
        <x:v>50% working stock</x:v>
      </x:c>
      <x:c r="D23" s="46" t="n">
        <x:v>0.5</x:v>
      </x:c>
      <x:c r="E23" s="44" t="str">
        <x:v>PREPARED STOCK</x:v>
      </x:c>
      <x:c r="F23" s="44" t="str">
        <x:v>HAVE</x:v>
      </x:c>
      <x:c r="G23" s="44" t="str">
        <x:v>50% working stock</x:v>
      </x:c>
      <x:c r="H23" s="44" t="str"/>
      <x:c r="I23" s="44" t="str">
        <x:v>Ambermax 50%</x:v>
      </x:c>
      <x:c r="J23" s="44" t="str"/>
      <x:c r="K23" s="44" t="str">
        <x:v>Use only at the listed supplied-stock strength.</x:v>
      </x:c>
      <x:c r="L23" s="44" t="str">
        <x:v>Unchanged from prior register.</x:v>
      </x:c>
      <x:c r="M23" s="44" t="str">
        <x:v>AM-E01, AM-E02, AM-E03, AM-E04, AM-E05, AM-E06, AM-E07, AM-E08, AM-E09, AM-E10, AM-E11, AM-E12, AM-E13, AM-E14, AM-E15, AM-E16, AM-L01, AM-L02, AM-L03, AM-L04, AM-L05, AM-L06, AM-L07, AM-L08, AM-L09, AM-N01, AM-N02, AM-N03, AM-N04, AM-N05, AM-N06, AM-N07, AM-N08, AM-N09, AM-N10, AM-N11, AM-N12, AM-N13, AM-N14, AM-N15, AM-N16, C07, C08, PR-E03, PR-E06, PR-L01, PR-N01, PR-N06, PR-N09, Y01</x:v>
      </x:c>
    </x:row>
    <x:row r="24" ht="45" customHeight="1">
      <x:c r="A24" s="44" t="n">
        <x:v>19</x:v>
      </x:c>
      <x:c r="B24" s="44" t="str">
        <x:v>Amberwood F</x:v>
      </x:c>
      <x:c r="C24" s="44" t="str">
        <x:v>neat / as supplied</x:v>
      </x:c>
      <x:c r="D24" s="46" t="n">
        <x:v>1</x:v>
      </x:c>
      <x:c r="E24" s="44" t="str">
        <x:v>DIRECT</x:v>
      </x:c>
      <x:c r="F24" s="44" t="str">
        <x:v>HAVE</x:v>
      </x:c>
      <x:c r="G24" s="44" t="str">
        <x:v>neat / as supplied</x:v>
      </x:c>
      <x:c r="H24" s="44" t="str"/>
      <x:c r="I24" s="44" t="str">
        <x:v>Amberwood F</x:v>
      </x:c>
      <x:c r="J24" s="44" t="str"/>
      <x:c r="K24" s="44" t="str">
        <x:v>Use only at the listed supplied-stock strength.</x:v>
      </x:c>
      <x:c r="L24" s="44" t="str">
        <x:v>Unchanged from prior register.</x:v>
      </x:c>
      <x:c r="M24" s="44" t="str">
        <x:v>AM-E01, AM-E02, AM-E03, AM-E04, AM-E05, AM-E06, AM-E07, AM-E08, AM-E09, AM-E10, AM-E11, AM-E12, AM-E13, AM-E14, AM-E15, AM-E16, AM-L01, AM-L02, AM-L03, AM-L04, AM-L05, AM-L06, AM-L07, AM-L08, AM-L09, AM-N01, AM-N02, AM-N03, AM-N04, AM-N05, AM-N06, AM-N07, AM-N08, AM-N09, AM-N10, AM-N11, AM-N12, AM-N13, AM-N14, AM-N15, AM-N16, C05, C06, C07, C08, H01, H02, H03, H04, H05, H06, H07, H08, H10, H11, H12, H13, H14, H15, O02, O03, O06, PR-E01, PR-E02, PR-E03, PR-E04, PR-E05, PR-E06, PR-E07, PR-E09, PR-L01, PR-N01, PR-N02, PR-N03, PR-N06, PR-N07, PR-N08, PR-N09, S01, S02, S03, S04, S05, S06, S07, S08, Y02, Y03, Y04, Y08, Y10, Y13</x:v>
      </x:c>
    </x:row>
    <x:row r="25" ht="45" customHeight="1">
      <x:c r="A25" s="44" t="n">
        <x:v>20</x:v>
      </x:c>
      <x:c r="B25" s="44" t="str">
        <x:v>Ambrettolide 10%</x:v>
      </x:c>
      <x:c r="C25" s="44" t="str">
        <x:v>10% in DPG</x:v>
      </x:c>
      <x:c r="D25" s="46" t="n">
        <x:v>0.1</x:v>
      </x:c>
      <x:c r="E25" s="44" t="str">
        <x:v>PREPARED STOCK</x:v>
      </x:c>
      <x:c r="F25" s="44" t="str">
        <x:v>HAVE</x:v>
      </x:c>
      <x:c r="G25" s="44" t="str">
        <x:v>10% in DPG</x:v>
      </x:c>
      <x:c r="H25" s="44" t="str"/>
      <x:c r="I25" s="44" t="str">
        <x:v>Ambrettolide 10%</x:v>
      </x:c>
      <x:c r="J25" s="44" t="str"/>
      <x:c r="K25" s="44" t="str">
        <x:v>Use only at the listed supplied-stock strength.</x:v>
      </x:c>
      <x:c r="L25" s="44" t="str">
        <x:v>Unchanged from prior register.</x:v>
      </x:c>
      <x:c r="M25"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PR-E03, PR-E04, PR-E05, PR-E06, PR-E07, PR-E08, PR-E09, PR-L02, PR-L03, PR-L04, PR-L05, PR-N01, PR-N02, PR-N03, PR-N04, PR-N05, PR-N06, PR-N07, PR-N08, PR-N09, PR-N10, PR-N11, PR-N12, PR-N13, PR-N14, S01, S02, S03, S04, S05, S06, S07, S08, Y01, Y02, Y03, Y04, Y05, Y06, Y07, Y08, Y09, Y10, Y11, Y12, Y13, Y14</x:v>
      </x:c>
    </x:row>
    <x:row r="26" ht="45" customHeight="1">
      <x:c r="A26" s="44" t="n">
        <x:v>21</x:v>
      </x:c>
      <x:c r="B26" s="44" t="str">
        <x:v>Ambrofix 30%</x:v>
      </x:c>
      <x:c r="C26" s="44" t="str">
        <x:v>30% working stock</x:v>
      </x:c>
      <x:c r="D26" s="46" t="n">
        <x:v>0.3</x:v>
      </x:c>
      <x:c r="E26" s="44" t="str">
        <x:v>PREPARED STOCK</x:v>
      </x:c>
      <x:c r="F26" s="44" t="str">
        <x:v>HAVE</x:v>
      </x:c>
      <x:c r="G26" s="44" t="str">
        <x:v>30% working stock</x:v>
      </x:c>
      <x:c r="H26" s="44" t="str"/>
      <x:c r="I26" s="44" t="str">
        <x:v>Ambrofix 30%</x:v>
      </x:c>
      <x:c r="J26" s="44" t="str"/>
      <x:c r="K26" s="44" t="str">
        <x:v>Use only at the listed supplied-stock strength.</x:v>
      </x:c>
      <x:c r="L26" s="44" t="str">
        <x:v>Unchanged from prior register.</x:v>
      </x:c>
      <x:c r="M26"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PR-E03, PR-E04, PR-E05, PR-E06, PR-E07, PR-E09, PR-L01, PR-L02, PR-L03, PR-L04, PR-L05, PR-N01, PR-N02, PR-N03, PR-N04, PR-N05, PR-N06, PR-N07, PR-N08, PR-N09, S01, S02, S03, S04, S05, S06, S07, S08, Y01, Y02, Y03, Y04, Y05, Y06, Y07, Y08, Y09, Y10, Y11, Y12, Y13, Y14</x:v>
      </x:c>
    </x:row>
    <x:row r="27" ht="45" customHeight="1">
      <x:c r="A27" s="44" t="n">
        <x:v>22</x:v>
      </x:c>
      <x:c r="B27" s="44" t="str">
        <x:v>Ambrox Super 33%</x:v>
      </x:c>
      <x:c r="C27" s="44" t="str">
        <x:v>33% working stock</x:v>
      </x:c>
      <x:c r="D27" s="46" t="n">
        <x:v>0.33</x:v>
      </x:c>
      <x:c r="E27" s="44" t="str">
        <x:v>TRACE PREMIX</x:v>
      </x:c>
      <x:c r="F27" s="44" t="str">
        <x:v>HAVE</x:v>
      </x:c>
      <x:c r="G27" s="44" t="str">
        <x:v>33% working stock</x:v>
      </x:c>
      <x:c r="H27" s="44" t="str"/>
      <x:c r="I27" s="44" t="str">
        <x:v>Ambrox Super 33%</x:v>
      </x:c>
      <x:c r="J27" s="44" t="str"/>
      <x:c r="K27" s="44" t="str">
        <x:v>Use only at the listed supplied-stock strength.</x:v>
      </x:c>
      <x:c r="L27" s="44" t="str">
        <x:v>Unchanged from prior register.</x:v>
      </x:c>
      <x:c r="M27" s="44" t="str">
        <x:v>AM-E01, AM-E02, AM-E03, AM-E04, AM-E05, AM-E06, AM-E07, AM-E08, AM-E09, AM-E10, AM-E11, AM-E12, AM-E13, AM-E14, AM-E15, AM-E16, AM-L01, AM-L02, AM-L03, AM-L04, AM-L05, AM-L06, AM-L07, AM-L08, AM-L09, AM-N01, AM-N02, AM-N03, AM-N04, AM-N05, AM-N06, AM-N07, AM-N08, AM-N09, AM-N10, AM-N11, AM-N12, AM-N13, AM-N14, AM-N15, AM-N16, C07, C08, H01, H02, H03, H04, H05, H06, H07, H08, H10, H11, H12, H13, H14, H15, O03, O06, PR-E03, PR-E04, PR-E05, PR-E06, PR-E07, PR-E09, PR-L02, PR-N01, PR-N02, PR-N03, PR-N07, PR-N08, PR-N09, S01, S02, S03, S04, S05, S06, S07, S08, Y02</x:v>
      </x:c>
    </x:row>
    <x:row r="28" ht="45" customHeight="1">
      <x:c r="A28" s="44" t="n">
        <x:v>23</x:v>
      </x:c>
      <x:c r="B28" s="44" t="str">
        <x:v>Angelica Seed EO 10%</x:v>
      </x:c>
      <x:c r="C28" s="44" t="str">
        <x:v>10% target-required working dilution</x:v>
      </x:c>
      <x:c r="D28" s="46" t="n">
        <x:v>0.1</x:v>
      </x:c>
      <x:c r="E28" s="44" t="str">
        <x:v>TARGET REQUIRED / INVENTORY GAP</x:v>
      </x:c>
      <x:c r="F28" s="44" t="str">
        <x:v>GAP</x:v>
      </x:c>
      <x:c r="G28" s="44" t="str"/>
      <x:c r="H28" s="44" t="str"/>
      <x:c r="I28" s="44" t="str">
        <x:v>Angelica Seed EO 10%</x:v>
      </x:c>
      <x:c r="J28" s="44" t="str"/>
      <x:c r="K28" s="44" t="str">
        <x:v>No Angelica Seed EO stock.</x:v>
      </x:c>
      <x:c r="L28" s="44" t="str">
        <x:v>User confirmed no.</x:v>
      </x:c>
      <x:c r="M28" s="44" t="str">
        <x:v>AM-N04, PR-E05, PR-N13</x:v>
      </x:c>
    </x:row>
    <x:row r="29" ht="45" customHeight="1">
      <x:c r="A29" s="44" t="n">
        <x:v>24</x:v>
      </x:c>
      <x:c r="B29" s="44" t="str">
        <x:v>Anisaldehyde 10%</x:v>
      </x:c>
      <x:c r="C29" s="44" t="str">
        <x:v>10% working stock</x:v>
      </x:c>
      <x:c r="D29" s="46" t="n">
        <x:v>0.1</x:v>
      </x:c>
      <x:c r="E29" s="44" t="str">
        <x:v>PREPARED STOCK</x:v>
      </x:c>
      <x:c r="F29" s="44" t="str">
        <x:v>HAVE</x:v>
      </x:c>
      <x:c r="G29" s="44" t="str">
        <x:v>10% working stock</x:v>
      </x:c>
      <x:c r="H29" s="44" t="str"/>
      <x:c r="I29" s="44" t="str">
        <x:v>Anisaldehyde 10%</x:v>
      </x:c>
      <x:c r="J29" s="44" t="str"/>
      <x:c r="K29" s="44" t="str">
        <x:v>Use only at the listed supplied-stock strength.</x:v>
      </x:c>
      <x:c r="L29" s="44" t="str">
        <x:v>Unchanged from prior register.</x:v>
      </x:c>
      <x:c r="M29" s="44" t="str">
        <x:v>AM-E02, AM-E03, AM-E04, AM-E07, AM-E11, AM-E12, AM-E13, AM-L01, AM-L03, AM-L05, AM-L06, AM-L07, AM-L08, AM-N01, AM-N02, AM-N03, AM-N06, AM-N07, AM-N08, AM-N10, AM-N13, AM-N14, AM-N15, AM-N16, PR-E04, PR-N12, S06, S08, Y03, Y07</x:v>
      </x:c>
    </x:row>
    <x:row r="30" ht="45" customHeight="1">
      <x:c r="A30" s="44" t="n">
        <x:v>25</x:v>
      </x:c>
      <x:c r="B30" s="44" t="str">
        <x:v>Anise EO 1%</x:v>
      </x:c>
      <x:c r="C30" s="44" t="str">
        <x:v>1% working dilution</x:v>
      </x:c>
      <x:c r="D30" s="46" t="n">
        <x:v>0.01</x:v>
      </x:c>
      <x:c r="E30" s="44" t="str">
        <x:v>TRACE PREMIX</x:v>
      </x:c>
      <x:c r="F30" s="44" t="str">
        <x:v>HAVE</x:v>
      </x:c>
      <x:c r="G30" s="44" t="str">
        <x:v>1% working dilution</x:v>
      </x:c>
      <x:c r="H30" s="44" t="str"/>
      <x:c r="I30" s="44" t="str">
        <x:v>Anise EO 1%</x:v>
      </x:c>
      <x:c r="J30" s="44" t="str"/>
      <x:c r="K30" s="44" t="str">
        <x:v>Use only at the listed supplied-stock strength.</x:v>
      </x:c>
      <x:c r="L30" s="44" t="str">
        <x:v>Unchanged from prior register.</x:v>
      </x:c>
      <x:c r="M30" s="44" t="str">
        <x:v>AM-E02, AM-E03, AM-E07, AM-E11, AM-E12, AM-E13, AM-L01, AM-L06, AM-L08, AM-N03, AM-N07, AM-N10, AM-N13, AM-N14, AM-N15, AM-N16, PR-E04</x:v>
      </x:c>
    </x:row>
    <x:row r="31" ht="45" customHeight="1">
      <x:c r="A31" s="44" t="n">
        <x:v>26</x:v>
      </x:c>
      <x:c r="B31" s="44" t="str">
        <x:v>Apple Accord 10%</x:v>
      </x:c>
      <x:c r="C31" s="44" t="str">
        <x:v>10% target-required accord</x:v>
      </x:c>
      <x:c r="D31" s="46" t="n">
        <x:v>0.1</x:v>
      </x:c>
      <x:c r="E31" s="44" t="str">
        <x:v>TARGET REQUIRED / INVENTORY GAP</x:v>
      </x:c>
      <x:c r="F31" s="44" t="str">
        <x:v>GAP</x:v>
      </x:c>
      <x:c r="G31" s="44" t="str"/>
      <x:c r="H31" s="44" t="str"/>
      <x:c r="I31" s="44" t="str">
        <x:v>Apple Accord 10%</x:v>
      </x:c>
      <x:c r="J31" s="44" t="str">
        <x:v>Hexyl Salicylate and Verdox are available but are not an Apple Accord.</x:v>
      </x:c>
      <x:c r="K31" s="44" t="str">
        <x:v>Keep Apple Accord as a true gap; do not call Hexyl Salicylate/Verdox an apple replacement.</x:v>
      </x:c>
      <x:c r="L31" s="44" t="str">
        <x:v>User has Hexyl Salicylate and Verdox, not Apple Accord.</x:v>
      </x:c>
      <x:c r="M31" s="44" t="str">
        <x:v>Y10, Y13</x:v>
      </x:c>
    </x:row>
    <x:row r="32" ht="45" customHeight="1">
      <x:c r="A32" s="44" t="n">
        <x:v>27</x:v>
      </x:c>
      <x:c r="B32" s="44" t="str">
        <x:v>Apritone 10%</x:v>
      </x:c>
      <x:c r="C32" s="44" t="str">
        <x:v>10% working stock</x:v>
      </x:c>
      <x:c r="D32" s="46" t="n">
        <x:v>0.1</x:v>
      </x:c>
      <x:c r="E32" s="44" t="str">
        <x:v>PREPARED STOCK</x:v>
      </x:c>
      <x:c r="F32" s="44" t="str">
        <x:v>HAVE</x:v>
      </x:c>
      <x:c r="G32" s="44" t="str">
        <x:v>10% working stock</x:v>
      </x:c>
      <x:c r="H32" s="44" t="str"/>
      <x:c r="I32" s="44" t="str">
        <x:v>Apritone 10%</x:v>
      </x:c>
      <x:c r="J32" s="44" t="str"/>
      <x:c r="K32" s="44" t="str">
        <x:v>Use only at the listed supplied-stock strength.</x:v>
      </x:c>
      <x:c r="L32" s="44" t="str">
        <x:v>Unchanged from prior register.</x:v>
      </x:c>
      <x:c r="M32" s="44" t="str">
        <x:v>AM-E02, AM-E06, AM-L02, AM-L04, AM-N03, AM-N06, AM-N09, AM-N10, H05</x:v>
      </x:c>
    </x:row>
    <x:row r="33" ht="45" customHeight="1">
      <x:c r="A33" s="44" t="n">
        <x:v>28</x:v>
      </x:c>
      <x:c r="B33" s="44" t="str">
        <x:v>Basil EO ct. Methyl Chavicol 10%</x:v>
      </x:c>
      <x:c r="C33" s="44" t="str">
        <x:v>10% in DPG; verify stock</x:v>
      </x:c>
      <x:c r="D33" s="46" t="n">
        <x:v>0.1</x:v>
      </x:c>
      <x:c r="E33" s="44" t="str">
        <x:v>VERIFY LABEL</x:v>
      </x:c>
      <x:c r="F33" s="44" t="str">
        <x:v>VERIFY</x:v>
      </x:c>
      <x:c r="G33" s="44" t="str">
        <x:v>10% in DPG; verify stock</x:v>
      </x:c>
      <x:c r="H33" s="44" t="str"/>
      <x:c r="I33" s="44" t="str">
        <x:v>Basil EO ct. Methyl Chavicol 10%</x:v>
      </x:c>
      <x:c r="J33" s="44" t="str"/>
      <x:c r="K33" s="44" t="str">
        <x:v>Confirm bottle identity, strength, and solvent before use.</x:v>
      </x:c>
      <x:c r="L33" s="44" t="str">
        <x:v>Unchanged from prior register.</x:v>
      </x:c>
      <x:c r="M33" s="44" t="str">
        <x:v>Y01, Y07</x:v>
      </x:c>
    </x:row>
    <x:row r="34" ht="45" customHeight="1">
      <x:c r="A34" s="44" t="n">
        <x:v>29</x:v>
      </x:c>
      <x:c r="B34" s="44" t="str">
        <x:v>Benzaldehyde 10%</x:v>
      </x:c>
      <x:c r="C34" s="44" t="str">
        <x:v>10% working dilution</x:v>
      </x:c>
      <x:c r="D34" s="46" t="n">
        <x:v>0.1</x:v>
      </x:c>
      <x:c r="E34" s="44" t="str">
        <x:v>PREPARED STOCK</x:v>
      </x:c>
      <x:c r="F34" s="44" t="str">
        <x:v>HAVE — NEAT / PREPARE</x:v>
      </x:c>
      <x:c r="G34" s="44" t="str">
        <x:v>Benzaldehyde neat</x:v>
      </x:c>
      <x:c r="H34" s="44" t="str">
        <x:v>Prepare 10% only when required.</x:v>
      </x:c>
      <x:c r="I34" s="44" t="str">
        <x:v>Benzaldehyde 10%</x:v>
      </x:c>
      <x:c r="J34" s="44" t="str"/>
      <x:c r="K34" s="44" t="str">
        <x:v>Use only at the listed supplied-stock strength.</x:v>
      </x:c>
      <x:c r="L34" s="44" t="str">
        <x:v>The listed 10% stock needs to be made from neat benzaldehyde.</x:v>
      </x:c>
      <x:c r="M34" s="44" t="str">
        <x:v>AM-E02, AM-E04, AM-E06, AM-E13, AM-L01, AM-L03, AM-L04, AM-L05, AM-L07, AM-N01, AM-N02, AM-N06, AM-N07, AM-N09, AM-N13, AM-N15, PR-E04, PR-N08</x:v>
      </x:c>
    </x:row>
    <x:row r="35" ht="45" customHeight="1">
      <x:c r="A35" s="44" t="n">
        <x:v>30</x:v>
      </x:c>
      <x:c r="B35" s="44" t="str">
        <x:v>Benzyl Salicylate</x:v>
      </x:c>
      <x:c r="C35" s="44" t="str">
        <x:v>neat / as supplied</x:v>
      </x:c>
      <x:c r="D35" s="46" t="n">
        <x:v>1</x:v>
      </x:c>
      <x:c r="E35" s="44" t="str">
        <x:v>DIRECT</x:v>
      </x:c>
      <x:c r="F35" s="44" t="str">
        <x:v>HAVE</x:v>
      </x:c>
      <x:c r="G35" s="44" t="str">
        <x:v>neat / as supplied</x:v>
      </x:c>
      <x:c r="H35" s="44" t="str"/>
      <x:c r="I35" s="44" t="str">
        <x:v>Benzyl Salicylate</x:v>
      </x:c>
      <x:c r="J35" s="44" t="str"/>
      <x:c r="K35" s="44" t="str">
        <x:v>Use only at the listed supplied-stock strength.</x:v>
      </x:c>
      <x:c r="L35" s="44" t="str">
        <x:v>Unchanged from prior register.</x:v>
      </x:c>
      <x:c r="M35"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C08, H01, H02, H03, H04, H05, H06, H07, H09, H10, H11, H12, H13, H14, O01, O02, O03, O05, O06, PR-E01, PR-E02, PR-E04, PR-E07, PR-E08, PR-E09, PR-L03, PR-L04, PR-L05, PR-N04, PR-N06, PR-N14, S01, S02, S03, S07, Y01, Y03, Y04, Y05, Y06, Y08</x:v>
      </x:c>
    </x:row>
    <x:row r="36" ht="45" customHeight="1">
      <x:c r="A36" s="44" t="n">
        <x:v>31</x:v>
      </x:c>
      <x:c r="B36" s="44" t="str">
        <x:v>Bergamot FCF Oil Sicilian</x:v>
      </x:c>
      <x:c r="C36" s="44" t="str">
        <x:v>neat / as supplied</x:v>
      </x:c>
      <x:c r="D36" s="46" t="n">
        <x:v>1</x:v>
      </x:c>
      <x:c r="E36" s="44" t="str">
        <x:v>DIRECT</x:v>
      </x:c>
      <x:c r="F36" s="44" t="str">
        <x:v>HAVE</x:v>
      </x:c>
      <x:c r="G36" s="44" t="str">
        <x:v>neat / as supplied</x:v>
      </x:c>
      <x:c r="H36" s="44" t="str"/>
      <x:c r="I36" s="44" t="str">
        <x:v>Bergamot FCF Oil Sicilian</x:v>
      </x:c>
      <x:c r="J36" s="44" t="str"/>
      <x:c r="K36" s="44" t="str">
        <x:v>Use only at the listed supplied-stock strength.</x:v>
      </x:c>
      <x:c r="L36" s="44" t="str">
        <x:v>Unchanged from prior register.</x:v>
      </x:c>
      <x:c r="M36"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H08, H09, H10, H11, H12, H14, H15, O01, O03, O05, O06, PR-E01, PR-E02, PR-E03, PR-E04, PR-E05, PR-E07, PR-E08, PR-E09, PR-L01, PR-L02, PR-L03, PR-L04, PR-L05, PR-N01, PR-N03, PR-N04, PR-N05, PR-N06, PR-N10, PR-N11, PR-N12, PR-N13, PR-N14, S01, S02, S03, S04, S05, S07, S08, Y01, Y02, Y03, Y04, Y05, Y06, Y07, Y08, Y09, Y10, Y11, Y12, Y13, Y14</x:v>
      </x:c>
    </x:row>
    <x:row r="37" ht="45" customHeight="1">
      <x:c r="A37" s="44" t="n">
        <x:v>32</x:v>
      </x:c>
      <x:c r="B37" s="44" t="str">
        <x:v>Beta Damascone 10%</x:v>
      </x:c>
      <x:c r="C37" s="44" t="str">
        <x:v>10% working stock</x:v>
      </x:c>
      <x:c r="D37" s="46" t="n">
        <x:v>0.1</x:v>
      </x:c>
      <x:c r="E37" s="44" t="str">
        <x:v>PREPARED STOCK</x:v>
      </x:c>
      <x:c r="F37" s="44" t="str">
        <x:v>HAVE</x:v>
      </x:c>
      <x:c r="G37" s="44" t="str">
        <x:v>10% working stock</x:v>
      </x:c>
      <x:c r="H37" s="44" t="str"/>
      <x:c r="I37" s="44" t="str">
        <x:v>Beta Damascone 10%</x:v>
      </x:c>
      <x:c r="J37" s="44" t="str"/>
      <x:c r="K37" s="44" t="str">
        <x:v>Use only at the listed supplied-stock strength.</x:v>
      </x:c>
      <x:c r="L37" s="44" t="str">
        <x:v>Unchanged from prior register.</x:v>
      </x:c>
      <x:c r="M37" s="44" t="str">
        <x:v>AM-E01, AM-E02, AM-E05, AM-E06, AM-E12, AM-E13, AM-L02, AM-L04, AM-L08, AM-N03, AM-N06, AM-N09, AM-N10, AM-N13, H06, H13, S05, S06</x:v>
      </x:c>
    </x:row>
    <x:row r="38" ht="45" customHeight="1">
      <x:c r="A38" s="44" t="n">
        <x:v>33</x:v>
      </x:c>
      <x:c r="B38" s="44" t="str">
        <x:v>Beta Ionone</x:v>
      </x:c>
      <x:c r="C38" s="44" t="str">
        <x:v>neat / as supplied</x:v>
      </x:c>
      <x:c r="D38" s="46" t="n">
        <x:v>1</x:v>
      </x:c>
      <x:c r="E38" s="44" t="str">
        <x:v>TRACE PREMIX</x:v>
      </x:c>
      <x:c r="F38" s="44" t="str">
        <x:v>HAVE</x:v>
      </x:c>
      <x:c r="G38" s="44" t="str">
        <x:v>neat / as supplied</x:v>
      </x:c>
      <x:c r="H38" s="44" t="str"/>
      <x:c r="I38" s="44" t="str">
        <x:v>Beta Ionone</x:v>
      </x:c>
      <x:c r="J38" s="44" t="str"/>
      <x:c r="K38" s="44" t="str">
        <x:v>Use only at the listed supplied-stock strength.</x:v>
      </x:c>
      <x:c r="L38" s="44" t="str">
        <x:v>Unchanged from prior register.</x:v>
      </x:c>
      <x:c r="M38" s="44" t="str">
        <x:v>C01, C03, C06, H01, H02, H04, H05, H06, H07, H08, O01, O02, O04, Y09, Y10, Y11, Y12, Y13</x:v>
      </x:c>
    </x:row>
    <x:row r="39" ht="45" customHeight="1">
      <x:c r="A39" s="44" t="n">
        <x:v>34</x:v>
      </x:c>
      <x:c r="B39" s="44" t="str">
        <x:v>Beta Ionone 1%</x:v>
      </x:c>
      <x:c r="C39" s="44" t="str">
        <x:v>1% working stock</x:v>
      </x:c>
      <x:c r="D39" s="46" t="n">
        <x:v>0.01</x:v>
      </x:c>
      <x:c r="E39" s="44" t="str">
        <x:v>TRACE PREMIX</x:v>
      </x:c>
      <x:c r="F39" s="44" t="str">
        <x:v>HAVE — DIFFERENT STOCK</x:v>
      </x:c>
      <x:c r="G39" s="44" t="str">
        <x:v>Beta Ionone 0.1% working dilution</x:v>
      </x:c>
      <x:c r="H39" s="44" t="str">
        <x:v>Neat Beta Ionone is separately listed at item 33; prepare any other dilution deliberately.</x:v>
      </x:c>
      <x:c r="I39" s="44" t="str">
        <x:v>Beta Ionone 1%</x:v>
      </x:c>
      <x:c r="J39" s="44" t="str"/>
      <x:c r="K39" s="44" t="str">
        <x:v>Do not dose as 1%; recalculate formulas to 0.1% stock.</x:v>
      </x:c>
      <x:c r="L39" s="44" t="str">
        <x:v>User has 0.1%, not 1%.</x:v>
      </x:c>
      <x:c r="M39" s="44" t="str">
        <x:v>PR-N11, Y01</x:v>
      </x:c>
    </x:row>
    <x:row r="40" ht="45" customHeight="1">
      <x:c r="A40" s="44" t="n">
        <x:v>35</x:v>
      </x:c>
      <x:c r="B40" s="44" t="str">
        <x:v>Birch Tar 1%</x:v>
      </x:c>
      <x:c r="C40" s="44" t="str">
        <x:v>1% working stock</x:v>
      </x:c>
      <x:c r="D40" s="46" t="n">
        <x:v>0.01</x:v>
      </x:c>
      <x:c r="E40" s="44" t="str">
        <x:v>PREPARED STOCK</x:v>
      </x:c>
      <x:c r="F40" s="44" t="str">
        <x:v>HAVE — MULTIPLE STOCKS</x:v>
      </x:c>
      <x:c r="G40" s="44" t="str">
        <x:v>Birch Tar 1% and Birch Tar 10%</x:v>
      </x:c>
      <x:c r="H40" s="44" t="str"/>
      <x:c r="I40" s="44" t="str">
        <x:v>Birch Tar 1%</x:v>
      </x:c>
      <x:c r="J40" s="44" t="str"/>
      <x:c r="K40" s="44" t="str">
        <x:v>Formula must name the exact stock strength.</x:v>
      </x:c>
      <x:c r="L40" s="44" t="str">
        <x:v>Both 1% and 10% stocks are available.</x:v>
      </x:c>
      <x:c r="M40" s="44" t="str">
        <x:v>AM-E01, AM-E02, AM-E03, AM-E04, AM-E07, AM-E08, AM-E11, AM-E13, AM-E14, AM-E15, AM-L03, AM-L04, AM-L05, AM-L06, AM-L07, AM-L08, AM-N01, AM-N03, AM-N05, AM-N07, AM-N08, AM-N09, AM-N13, C08, H01, H04, H08, PR-E02, PR-E04, PR-E07, PR-N05, PR-N06, PR-N07</x:v>
      </x:c>
    </x:row>
    <x:row r="41" ht="45" customHeight="1">
      <x:c r="A41" s="44" t="n">
        <x:v>36</x:v>
      </x:c>
      <x:c r="B41" s="44" t="str">
        <x:v>Black Agarwood Artificial 10%</x:v>
      </x:c>
      <x:c r="C41" s="44" t="str">
        <x:v>10% prepared from neat</x:v>
      </x:c>
      <x:c r="D41" s="46" t="n">
        <x:v>0.1</x:v>
      </x:c>
      <x:c r="E41" s="44" t="str">
        <x:v>PREPARED STOCK</x:v>
      </x:c>
      <x:c r="F41" s="44" t="str">
        <x:v>HAVE</x:v>
      </x:c>
      <x:c r="G41" s="44" t="str">
        <x:v>10% prepared from neat</x:v>
      </x:c>
      <x:c r="H41" s="44" t="str"/>
      <x:c r="I41" s="44" t="str">
        <x:v>Black Agarwood Artificial 10%</x:v>
      </x:c>
      <x:c r="J41" s="44" t="str"/>
      <x:c r="K41" s="44" t="str">
        <x:v>Use only at the listed supplied-stock strength.</x:v>
      </x:c>
      <x:c r="L41" s="44" t="str">
        <x:v>Unchanged from prior register.</x:v>
      </x:c>
      <x:c r="M41" s="44" t="str">
        <x:v>AM-E01, AM-E03, AM-E04, AM-E05, AM-E06, AM-E07, AM-E13, AM-L09, AM-N01, AM-N07, AM-N08, AM-N09, AM-N15, H06, O04, S08</x:v>
      </x:c>
    </x:row>
    <x:row r="42" ht="45" customHeight="1">
      <x:c r="A42" s="44" t="n">
        <x:v>37</x:v>
      </x:c>
      <x:c r="B42" s="44" t="str">
        <x:v>Black Pepper EO</x:v>
      </x:c>
      <x:c r="C42" s="44" t="str">
        <x:v>neat / as supplied</x:v>
      </x:c>
      <x:c r="D42" s="46" t="n">
        <x:v>1</x:v>
      </x:c>
      <x:c r="E42" s="44" t="str">
        <x:v>DIRECT</x:v>
      </x:c>
      <x:c r="F42" s="44" t="str">
        <x:v>HAVE</x:v>
      </x:c>
      <x:c r="G42" s="44" t="str">
        <x:v>neat / as supplied</x:v>
      </x:c>
      <x:c r="H42" s="44" t="str"/>
      <x:c r="I42" s="44" t="str">
        <x:v>Black Pepper EO</x:v>
      </x:c>
      <x:c r="J42" s="44" t="str"/>
      <x:c r="K42" s="44" t="str">
        <x:v>Use only at the listed supplied-stock strength.</x:v>
      </x:c>
      <x:c r="L42" s="44" t="str">
        <x:v>Unchanged from prior register.</x:v>
      </x:c>
      <x:c r="M42" s="44" t="str">
        <x:v>AM-E01, AM-E02, AM-E03, AM-E04, AM-E05, AM-E06, AM-E07, AM-E08, AM-E09, AM-E10, AM-E11, AM-E12, AM-E13, AM-E14, AM-E15, AM-E16, AM-L01, AM-L02, AM-L03, AM-L04, AM-L05, AM-L06, AM-L07, AM-L08, AM-L09, AM-N01, AM-N02, AM-N03, AM-N04, AM-N05, AM-N06, AM-N07, AM-N08, AM-N09, AM-N10, AM-N11, AM-N12, AM-N13, AM-N14, AM-N15, AM-N16, C01, C05, C07, C08, H01, H02, H03, H08, H11, H12, H13, H14, H15, O01, O03, O04, O05, PR-E01, PR-E02, PR-E03, PR-E04, PR-E07, PR-L01, PR-L04, PR-N05, S01, S02, S03, S04, S05, S06, S07, S08, Y01, Y02, Y03, Y04, Y05, Y06, Y07, Y08, Y09, Y10, Y11, Y12, Y13, Y14</x:v>
      </x:c>
    </x:row>
    <x:row r="43" ht="45" customHeight="1">
      <x:c r="A43" s="44" t="n">
        <x:v>38</x:v>
      </x:c>
      <x:c r="B43" s="44" t="str">
        <x:v>Blackcurrant Absolute 10%</x:v>
      </x:c>
      <x:c r="C43" s="44" t="str">
        <x:v>10% in DPG</x:v>
      </x:c>
      <x:c r="D43" s="46" t="n">
        <x:v>0.1</x:v>
      </x:c>
      <x:c r="E43" s="44" t="str">
        <x:v>PREPARED STOCK</x:v>
      </x:c>
      <x:c r="F43" s="44" t="str">
        <x:v>HAVE</x:v>
      </x:c>
      <x:c r="G43" s="44" t="str">
        <x:v>10% in DPG</x:v>
      </x:c>
      <x:c r="H43" s="44" t="str"/>
      <x:c r="I43" s="44" t="str">
        <x:v>Blackcurrant Absolute 10%</x:v>
      </x:c>
      <x:c r="J43" s="44" t="str"/>
      <x:c r="K43" s="44" t="str">
        <x:v>Use only at the listed supplied-stock strength.</x:v>
      </x:c>
      <x:c r="L43" s="44" t="str">
        <x:v>Unchanged from prior register.</x:v>
      </x:c>
      <x:c r="M43" s="44" t="str">
        <x:v>AM-E01, AM-E02, AM-E05, AM-E06, AM-E12, AM-E13, AM-L01, AM-L02, AM-L03, AM-L04, AM-L05, AM-L07, AM-L09, AM-N03, AM-N06, AM-N09, AM-N10, AM-N13</x:v>
      </x:c>
    </x:row>
    <x:row r="44" ht="45" customHeight="1">
      <x:c r="A44" s="44" t="n">
        <x:v>39</x:v>
      </x:c>
      <x:c r="B44" s="44" t="str">
        <x:v>Blood Orange Oil Sicilian</x:v>
      </x:c>
      <x:c r="C44" s="44" t="str">
        <x:v>neat / as supplied</x:v>
      </x:c>
      <x:c r="D44" s="46" t="n">
        <x:v>1</x:v>
      </x:c>
      <x:c r="E44" s="44" t="str">
        <x:v>DIRECT</x:v>
      </x:c>
      <x:c r="F44" s="44" t="str">
        <x:v>HAVE</x:v>
      </x:c>
      <x:c r="G44" s="44" t="str">
        <x:v>neat / as supplied</x:v>
      </x:c>
      <x:c r="H44" s="44" t="str"/>
      <x:c r="I44" s="44" t="str">
        <x:v>Blood Orange Oil Sicilian</x:v>
      </x:c>
      <x:c r="J44" s="44" t="str"/>
      <x:c r="K44" s="44" t="str">
        <x:v>Use only at the listed supplied-stock strength.</x:v>
      </x:c>
      <x:c r="L44" s="44" t="str">
        <x:v>Unchanged from prior register.</x:v>
      </x:c>
      <x:c r="M44" s="44" t="str">
        <x:v>AM-E02, AM-E03, AM-E04, AM-E05, AM-E06, AM-E07, AM-E08, AM-E09, AM-E10, AM-E12, AM-E14, AM-E15, AM-E16, AM-L01, AM-L02, AM-L03, AM-L04, AM-L06, AM-L08, AM-L09, AM-N02, AM-N04, AM-N05, AM-N06, AM-N07, AM-N09, AM-N10, AM-N14, AM-N15, C01, C02, C03, C04, C05, C06, C07, H06, H08, H13, H15, O05, O06, S05, Y03, Y04, Y05, Y10, Y14</x:v>
      </x:c>
    </x:row>
    <x:row r="45" ht="45" customHeight="1">
      <x:c r="A45" s="44" t="n">
        <x:v>40</x:v>
      </x:c>
      <x:c r="B45" s="44" t="str">
        <x:v>Camellia Accord 10%</x:v>
      </x:c>
      <x:c r="C45" s="44" t="str">
        <x:v>10% target-required accord</x:v>
      </x:c>
      <x:c r="D45" s="46" t="n">
        <x:v>0.1</x:v>
      </x:c>
      <x:c r="E45" s="44" t="str">
        <x:v>TARGET REQUIRED / INVENTORY GAP</x:v>
      </x:c>
      <x:c r="F45" s="44" t="str">
        <x:v>GAP</x:v>
      </x:c>
      <x:c r="G45" s="44" t="str"/>
      <x:c r="H45" s="44" t="str"/>
      <x:c r="I45" s="44" t="str">
        <x:v>Camellia Accord 10%</x:v>
      </x:c>
      <x:c r="J45" s="44" t="str"/>
      <x:c r="K45" s="44" t="str">
        <x:v>Do not substitute silently; target-required material is not in stock.</x:v>
      </x:c>
      <x:c r="L45" s="44" t="str">
        <x:v>No Camellia Accord.</x:v>
      </x:c>
      <x:c r="M45" s="44" t="str">
        <x:v>AM-L08</x:v>
      </x:c>
    </x:row>
    <x:row r="46" ht="45" customHeight="1">
      <x:c r="A46" s="44" t="n">
        <x:v>41</x:v>
      </x:c>
      <x:c r="B46" s="44" t="str">
        <x:v>Cardamom EO</x:v>
      </x:c>
      <x:c r="C46" s="44" t="str">
        <x:v>neat / as supplied</x:v>
      </x:c>
      <x:c r="D46" s="46" t="n">
        <x:v>1</x:v>
      </x:c>
      <x:c r="E46" s="44" t="str">
        <x:v>DIRECT</x:v>
      </x:c>
      <x:c r="F46" s="44" t="str">
        <x:v>HAVE</x:v>
      </x:c>
      <x:c r="G46" s="44" t="str">
        <x:v>neat / as supplied</x:v>
      </x:c>
      <x:c r="H46" s="44" t="str"/>
      <x:c r="I46" s="44" t="str">
        <x:v>Cardamom EO</x:v>
      </x:c>
      <x:c r="J46" s="44" t="str"/>
      <x:c r="K46" s="44" t="str">
        <x:v>Use only at the listed supplied-stock strength.</x:v>
      </x:c>
      <x:c r="L46" s="44" t="str">
        <x:v>Unchanged from prior register.</x:v>
      </x:c>
      <x:c r="M46" s="44" t="str">
        <x:v>AM-E01, AM-E02, AM-E03, AM-E04, AM-E05, AM-E06, AM-E07, AM-E08, AM-E09, AM-E10, AM-E11, AM-E12, AM-E13, AM-E14, AM-E15, AM-E16, AM-L01, AM-L02, AM-L03, AM-L04, AM-L05, AM-L06, AM-L07, AM-L08, AM-L09, AM-N01, AM-N02, AM-N03, AM-N04, AM-N05, AM-N06, AM-N07, AM-N08, AM-N09, AM-N10, AM-N11, AM-N12, AM-N13, AM-N14, AM-N15, AM-N16, C05, C07, C08, H01, H02, H03, H08, H11, H12, H14, H15, O01, O03, PR-E07, PR-E09, PR-L04, PR-L05, PR-N02, PR-N12, PR-N14, S01, S02, S03, S04, S06, S07, S08, Y02, Y03, Y04, Y05, Y06, Y07, Y08, Y09, Y10, Y11, Y12, Y13, Y14</x:v>
      </x:c>
    </x:row>
    <x:row r="47" ht="45" customHeight="1">
      <x:c r="A47" s="44" t="n">
        <x:v>42</x:v>
      </x:c>
      <x:c r="B47" s="44" t="str">
        <x:v>Carrot Seed EO 1%</x:v>
      </x:c>
      <x:c r="C47" s="44" t="str">
        <x:v>1% working stock</x:v>
      </x:c>
      <x:c r="D47" s="46" t="n">
        <x:v>0.01</x:v>
      </x:c>
      <x:c r="E47" s="44" t="str">
        <x:v>TRACE PREMIX</x:v>
      </x:c>
      <x:c r="F47" s="44" t="str">
        <x:v>HAVE — NEAT ONLY</x:v>
      </x:c>
      <x:c r="G47" s="44" t="str">
        <x:v>Carrot Seed EO neat</x:v>
      </x:c>
      <x:c r="H47" s="44" t="str">
        <x:v>Prepare 1% only if required.</x:v>
      </x:c>
      <x:c r="I47" s="44" t="str">
        <x:v>Carrot Seed EO 1%</x:v>
      </x:c>
      <x:c r="J47" s="44" t="str"/>
      <x:c r="K47" s="44" t="str">
        <x:v>Do not assume a pre-existing 1% stock.</x:v>
      </x:c>
      <x:c r="L47" s="44" t="str">
        <x:v>User only uses neat Carrot Seed EO.</x:v>
      </x:c>
      <x:c r="M47" s="44" t="str">
        <x:v>AM-E01, AM-E09, AM-E10, AM-N01, AM-N12, AM-N16, PR-E02, PR-L03, PR-N02, PR-N11</x:v>
      </x:c>
    </x:row>
    <x:row r="48" ht="45" customHeight="1">
      <x:c r="A48" s="44" t="n">
        <x:v>43</x:v>
      </x:c>
      <x:c r="B48" s="44" t="str">
        <x:v>Carrot Seed EO 10%</x:v>
      </x:c>
      <x:c r="C48" s="44" t="str">
        <x:v>10% working stock</x:v>
      </x:c>
      <x:c r="D48" s="46" t="n">
        <x:v>0.1</x:v>
      </x:c>
      <x:c r="E48" s="44" t="str">
        <x:v>TRACE PREMIX</x:v>
      </x:c>
      <x:c r="F48" s="44" t="str">
        <x:v>HAVE — NEAT ONLY</x:v>
      </x:c>
      <x:c r="G48" s="44" t="str">
        <x:v>Carrot Seed EO neat</x:v>
      </x:c>
      <x:c r="H48" s="44" t="str">
        <x:v>Prepare 10% only if required.</x:v>
      </x:c>
      <x:c r="I48" s="44" t="str">
        <x:v>Carrot Seed EO 10%</x:v>
      </x:c>
      <x:c r="J48" s="44" t="str"/>
      <x:c r="K48" s="44" t="str">
        <x:v>Duplicate dilution entry; canonical stock is neat Carrot Seed EO.</x:v>
      </x:c>
      <x:c r="L48" s="44" t="str">
        <x:v>User only uses neat Carrot Seed EO.</x:v>
      </x:c>
      <x:c r="M48" s="44" t="str">
        <x:v>C01, H01, H02, H04, H05, H06, H07, H08, O01, O02, O04, Y06, Y07, Y09, Y10, Y11, Y12, Y13</x:v>
      </x:c>
    </x:row>
    <x:row r="49" ht="45" customHeight="1">
      <x:c r="A49" s="44" t="n">
        <x:v>44</x:v>
      </x:c>
      <x:c r="B49" s="44" t="str">
        <x:v>Cashmeran 20%</x:v>
      </x:c>
      <x:c r="C49" s="44" t="str">
        <x:v>20% in DPG</x:v>
      </x:c>
      <x:c r="D49" s="46" t="n">
        <x:v>0.2</x:v>
      </x:c>
      <x:c r="E49" s="44" t="str">
        <x:v>PREPARED STOCK</x:v>
      </x:c>
      <x:c r="F49" s="44" t="str">
        <x:v>HAVE — MULTIPLE STOCKS</x:v>
      </x:c>
      <x:c r="G49" s="44" t="str">
        <x:v>Cashmeran neat and Cashmeran 20% in DPG</x:v>
      </x:c>
      <x:c r="H49" s="44" t="str"/>
      <x:c r="I49" s="44" t="str">
        <x:v>Cashmeran 20%</x:v>
      </x:c>
      <x:c r="J49" s="44" t="str"/>
      <x:c r="K49" s="44" t="str">
        <x:v>Formula must specify neat or 20% stock.</x:v>
      </x:c>
      <x:c r="L49" s="44" t="str">
        <x:v>Neat Cashmeran is also available.</x:v>
      </x:c>
      <x:c r="M49" s="44" t="str">
        <x:v>C05, C07, C08, H14, H15, PR-E02, PR-E03, PR-E04, PR-E05, PR-E06, PR-E07, PR-E09, PR-L01, PR-L02, PR-L04, PR-L05, PR-N01, PR-N02, PR-N03, PR-N04, PR-N05, PR-N06, PR-N07, PR-N08, PR-N09, Y01, Y08, Y14</x:v>
      </x:c>
    </x:row>
    <x:row r="50" ht="45" customHeight="1">
      <x:c r="A50" s="44" t="n">
        <x:v>45</x:v>
      </x:c>
      <x:c r="B50" s="44" t="str">
        <x:v>Castoreum 10%</x:v>
      </x:c>
      <x:c r="C50" s="44" t="str">
        <x:v>10% working dilution</x:v>
      </x:c>
      <x:c r="D50" s="46" t="n">
        <x:v>0.1</x:v>
      </x:c>
      <x:c r="E50" s="44" t="str">
        <x:v>PREPARED STOCK</x:v>
      </x:c>
      <x:c r="F50" s="44" t="str">
        <x:v>DUPLICATE / MERGE</x:v>
      </x:c>
      <x:c r="G50" s="44" t="str">
        <x:v>Same material as item 46</x:v>
      </x:c>
      <x:c r="H50" s="44" t="str"/>
      <x:c r="I50" s="44" t="str">
        <x:v>Castoreum Synthetic</x:v>
      </x:c>
      <x:c r="J50" s="44" t="str">
        <x:v>Merge with item 46.</x:v>
      </x:c>
      <x:c r="K50" s="44" t="str">
        <x:v>Use one canonical Castoreum Synthetic record.</x:v>
      </x:c>
      <x:c r="L50" s="44" t="str">
        <x:v>User says item 45 is item 46.</x:v>
      </x:c>
      <x:c r="M50" s="44" t="str">
        <x:v>AM-E01, AM-E02, AM-E03, AM-E04, AM-E07, AM-E08, AM-E11, AM-E13, AM-E14, AM-E15, AM-L03, AM-L04, AM-L05, AM-L06, AM-L07, AM-L08, AM-L09, AM-N01, AM-N03, AM-N05, AM-N07, AM-N08, AM-N09, AM-N13, PR-E02, PR-E07</x:v>
      </x:c>
    </x:row>
    <x:row r="51" ht="45" customHeight="1">
      <x:c r="A51" s="44" t="n">
        <x:v>46</x:v>
      </x:c>
      <x:c r="B51" s="44" t="str">
        <x:v>Castoreum Synthetic 10%</x:v>
      </x:c>
      <x:c r="C51" s="44" t="str">
        <x:v>10% prepared from neat</x:v>
      </x:c>
      <x:c r="D51" s="46" t="n">
        <x:v>0.1</x:v>
      </x:c>
      <x:c r="E51" s="44" t="str">
        <x:v>PREPARED STOCK</x:v>
      </x:c>
      <x:c r="F51" s="44" t="str">
        <x:v>HAVE — NEAT + 10%</x:v>
      </x:c>
      <x:c r="G51" s="44" t="str">
        <x:v>Castoreum Synthetic neat and 10% in DPG</x:v>
      </x:c>
      <x:c r="H51" s="44" t="str"/>
      <x:c r="I51" s="44" t="str">
        <x:v>Castoreum Synthetic</x:v>
      </x:c>
      <x:c r="J51" s="44" t="str"/>
      <x:c r="K51" s="44" t="str">
        <x:v>Use exact stock named in formula.</x:v>
      </x:c>
      <x:c r="L51" s="44" t="str">
        <x:v>Canonical castoreum record; item 45 merged here.</x:v>
      </x:c>
      <x:c r="M51" s="44" t="str">
        <x:v>H01, H04, H06, H07, H08, O02, Y03, Y04</x:v>
      </x:c>
    </x:row>
    <x:row r="52" ht="45" customHeight="1">
      <x:c r="A52" s="44" t="n">
        <x:v>47</x:v>
      </x:c>
      <x:c r="B52" s="44" t="str">
        <x:v>Cedarwood Atlas</x:v>
      </x:c>
      <x:c r="C52" s="44" t="str">
        <x:v>neat / as supplied; verify stock</x:v>
      </x:c>
      <x:c r="D52" s="46" t="n">
        <x:v>1</x:v>
      </x:c>
      <x:c r="E52" s="44" t="str">
        <x:v>VERIFY LABEL</x:v>
      </x:c>
      <x:c r="F52" s="44" t="str">
        <x:v>GAP — ATLAS</x:v>
      </x:c>
      <x:c r="G52" s="44" t="str">
        <x:v>Cedarwood Himalayan EO available; Cedarwood Atlas not available</x:v>
      </x:c>
      <x:c r="H52" s="44" t="str"/>
      <x:c r="I52" s="44" t="str">
        <x:v>Cedarwood Atlas</x:v>
      </x:c>
      <x:c r="J52" s="44" t="str">
        <x:v>Cedarwood Himalayan is not Cedarwood Atlas.</x:v>
      </x:c>
      <x:c r="K52" s="44" t="str">
        <x:v>Do not relabel Himalayan cedar as Atlas cedar. Add Himalayan as its own material.</x:v>
      </x:c>
      <x:c r="L52" s="44" t="str">
        <x:v>User owns Himalayan cedarwood, not Atlas.</x:v>
      </x:c>
      <x:c r="M52" s="44" t="str">
        <x:v>PR-L04, PR-L05, PR-N04, PR-N10, Y12</x:v>
      </x:c>
    </x:row>
    <x:row r="53" ht="45" customHeight="1">
      <x:c r="A53" s="44" t="n">
        <x:v>48</x:v>
      </x:c>
      <x:c r="B53" s="44" t="str">
        <x:v>Cedarwood Virginia</x:v>
      </x:c>
      <x:c r="C53" s="44" t="str">
        <x:v>neat / as supplied</x:v>
      </x:c>
      <x:c r="D53" s="46" t="n">
        <x:v>1</x:v>
      </x:c>
      <x:c r="E53" s="44" t="str">
        <x:v>DIRECT</x:v>
      </x:c>
      <x:c r="F53" s="44" t="str">
        <x:v>HAVE</x:v>
      </x:c>
      <x:c r="G53" s="44" t="str">
        <x:v>neat / as supplied</x:v>
      </x:c>
      <x:c r="H53" s="44" t="str"/>
      <x:c r="I53" s="44" t="str">
        <x:v>Cedarwood Virginia</x:v>
      </x:c>
      <x:c r="J53" s="44" t="str"/>
      <x:c r="K53" s="44" t="str">
        <x:v>Use only at the listed supplied-stock strength.</x:v>
      </x:c>
      <x:c r="L53" s="44" t="str">
        <x:v>Unchanged from prior register.</x:v>
      </x:c>
      <x:c r="M53"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PR-E03, PR-E04, PR-E05, PR-E06, PR-E07, PR-E09, PR-L01, PR-L02, PR-L03, PR-L04, PR-L05, PR-N01, PR-N02, PR-N03, PR-N04, PR-N05, PR-N06, PR-N07, PR-N08, PR-N09, PR-N10, S01, S02, S03, S04, S05, S06, S07, S08, Y01, Y02, Y03, Y04, Y05, Y06, Y07, Y08, Y09, Y10, Y11, Y12, Y13, Y14</x:v>
      </x:c>
    </x:row>
    <x:row r="54" ht="45" customHeight="1">
      <x:c r="A54" s="44" t="n">
        <x:v>49</x:v>
      </x:c>
      <x:c r="B54" s="44" t="str">
        <x:v>Cedramber 10%</x:v>
      </x:c>
      <x:c r="C54" s="44" t="str">
        <x:v>10% in DPG</x:v>
      </x:c>
      <x:c r="D54" s="46" t="n">
        <x:v>0.1</x:v>
      </x:c>
      <x:c r="E54" s="44" t="str">
        <x:v>PREPARED STOCK</x:v>
      </x:c>
      <x:c r="F54" s="44" t="str">
        <x:v>HAVE — NEAT ONLY</x:v>
      </x:c>
      <x:c r="G54" s="44" t="str">
        <x:v>Cedramber neat</x:v>
      </x:c>
      <x:c r="H54" s="44" t="str">
        <x:v>Prepare 10% only if required.</x:v>
      </x:c>
      <x:c r="I54" s="44" t="str">
        <x:v>Cedramber 10%</x:v>
      </x:c>
      <x:c r="J54" s="44" t="str"/>
      <x:c r="K54" s="44" t="str">
        <x:v>Use only at the listed supplied-stock strength.</x:v>
      </x:c>
      <x:c r="L54" s="44" t="str">
        <x:v>The listed 10% stock is not the owned form.</x:v>
      </x:c>
      <x:c r="M54" s="44" t="str">
        <x:v>C07, C08, PR-E02, PR-E04, PR-E07, Y01, Y08</x:v>
      </x:c>
    </x:row>
    <x:row r="55" ht="45" customHeight="1">
      <x:c r="A55" s="44" t="n">
        <x:v>50</x:v>
      </x:c>
      <x:c r="B55" s="44" t="str">
        <x:v>Cedrat FCF Oil Sicilian</x:v>
      </x:c>
      <x:c r="C55" s="44" t="str">
        <x:v>neat</x:v>
      </x:c>
      <x:c r="D55" s="46" t="n">
        <x:v>1</x:v>
      </x:c>
      <x:c r="E55" s="44" t="str">
        <x:v>DIRECT</x:v>
      </x:c>
      <x:c r="F55" s="44" t="str">
        <x:v>GAP</x:v>
      </x:c>
      <x:c r="G55" s="44" t="str"/>
      <x:c r="H55" s="44" t="str"/>
      <x:c r="I55" s="44" t="str">
        <x:v>Cedrat FCF Oil Sicilian</x:v>
      </x:c>
      <x:c r="J55" s="44" t="str">
        <x:v>Replacement must be target-specific; no automatic citrus swap.</x:v>
      </x:c>
      <x:c r="K55" s="44" t="str">
        <x:v>Remove Cedrat FCF from inventory-fit formulas until a target-specific replacement is justified.</x:v>
      </x:c>
      <x:c r="L55" s="44" t="str">
        <x:v>Cedrat FCF is gone.</x:v>
      </x:c>
      <x:c r="M55" s="44" t="str">
        <x:v>AM-E01, AM-E02, AM-E03, AM-E04, AM-E05, AM-E06, AM-E07, AM-E08, AM-E09, AM-E10, AM-E12, AM-E14, AM-E15, AM-E16, AM-L01, AM-L02, AM-L03, AM-L04, AM-L06, AM-L08, AM-L09, AM-N02, AM-N04, AM-N05, AM-N06, AM-N07, AM-N09, AM-N10, AM-N11, AM-N12, AM-N13, AM-N14, AM-N15, AM-N16, C07, H11, H12, H14, H15, PR-E04, PR-E05, PR-E07, PR-L02, PR-N03, PR-N10, PR-N11, PR-N12, PR-N13, PR-N14, S03, Y01, Y08</x:v>
      </x:c>
    </x:row>
    <x:row r="56" ht="45" customHeight="1">
      <x:c r="A56" s="44" t="n">
        <x:v>51</x:v>
      </x:c>
      <x:c r="B56" s="44" t="str">
        <x:v>Chrysanthemum Accord 10%</x:v>
      </x:c>
      <x:c r="C56" s="44" t="str">
        <x:v>10% target-required accord</x:v>
      </x:c>
      <x:c r="D56" s="46" t="n">
        <x:v>0.1</x:v>
      </x:c>
      <x:c r="E56" s="44" t="str">
        <x:v>TARGET REQUIRED / INVENTORY GAP</x:v>
      </x:c>
      <x:c r="F56" s="44" t="str">
        <x:v>GAP</x:v>
      </x:c>
      <x:c r="G56" s="44" t="str"/>
      <x:c r="H56" s="44" t="str"/>
      <x:c r="I56" s="44" t="str">
        <x:v>Chrysanthemum Accord 10%</x:v>
      </x:c>
      <x:c r="J56" s="44" t="str"/>
      <x:c r="K56" s="44" t="str">
        <x:v>Do not substitute silently; target-required material is not in stock.</x:v>
      </x:c>
      <x:c r="L56" s="44" t="str">
        <x:v>Unchanged from prior register.</x:v>
      </x:c>
      <x:c r="M56" s="44" t="str">
        <x:v>AM-L03</x:v>
      </x:c>
    </x:row>
    <x:row r="57" ht="45" customHeight="1">
      <x:c r="A57" s="44" t="n">
        <x:v>52</x:v>
      </x:c>
      <x:c r="B57" s="44" t="str">
        <x:v>Cinnamon Bark EO 1%</x:v>
      </x:c>
      <x:c r="C57" s="44" t="str">
        <x:v>1% in DPG</x:v>
      </x:c>
      <x:c r="D57" s="46" t="n">
        <x:v>0.01</x:v>
      </x:c>
      <x:c r="E57" s="44" t="str">
        <x:v>TRACE PREMIX</x:v>
      </x:c>
      <x:c r="F57" s="44" t="str">
        <x:v>HAVE — DIFFERENT MATERIAL / PREPARE</x:v>
      </x:c>
      <x:c r="G57" s="44" t="str">
        <x:v>Cinnamon Cassia Blume EO neat</x:v>
      </x:c>
      <x:c r="H57" s="44" t="str">
        <x:v>Can prepare 1% dilution.</x:v>
      </x:c>
      <x:c r="I57" s="44" t="str">
        <x:v>Cinnamon Bark EO 1%</x:v>
      </x:c>
      <x:c r="J57" s="44" t="str">
        <x:v>Cassia is not identical to Ceylon cinnamon bark oil.</x:v>
      </x:c>
      <x:c r="K57" s="44" t="str">
        <x:v>Use only when cassia is acceptable for the target; do not silently label it Cinnamon Bark EO.</x:v>
      </x:c>
      <x:c r="L57" s="44" t="str">
        <x:v>User has Cinnamon cassia Blume EO.</x:v>
      </x:c>
      <x:c r="M57" s="44" t="str">
        <x:v>AM-E02, AM-E03, AM-E04, AM-E07, AM-E11, AM-E12, AM-E13, AM-L01, AM-L06, AM-L08, AM-N03, AM-N07, AM-N10, AM-N13, AM-N14, AM-N15, AM-N16, PR-N12, PR-N14, Y08</x:v>
      </x:c>
    </x:row>
    <x:row r="58" ht="45" customHeight="1">
      <x:c r="A58" s="44" t="n">
        <x:v>53</x:v>
      </x:c>
      <x:c r="B58" s="44" t="str">
        <x:v>cis-3-Hexenol 1%</x:v>
      </x:c>
      <x:c r="C58" s="44" t="str">
        <x:v>1% working stock</x:v>
      </x:c>
      <x:c r="D58" s="46" t="n">
        <x:v>0.01</x:v>
      </x:c>
      <x:c r="E58" s="44" t="str">
        <x:v>TRACE PREMIX</x:v>
      </x:c>
      <x:c r="F58" s="44" t="str">
        <x:v>HAVE</x:v>
      </x:c>
      <x:c r="G58" s="44" t="str">
        <x:v>1% working stock</x:v>
      </x:c>
      <x:c r="H58" s="44" t="str"/>
      <x:c r="I58" s="44" t="str">
        <x:v>cis-3-Hexenol 1%</x:v>
      </x:c>
      <x:c r="J58" s="44" t="str"/>
      <x:c r="K58" s="44" t="str">
        <x:v>Use only at the listed supplied-stock strength.</x:v>
      </x:c>
      <x:c r="L58" s="44" t="str">
        <x:v>Unchanged from prior register.</x:v>
      </x:c>
      <x:c r="M58" s="44" t="str">
        <x:v>C03, C04, O04, Y07, Y10, Y12, Y13, Y14</x:v>
      </x:c>
    </x:row>
    <x:row r="59" ht="45" customHeight="1">
      <x:c r="A59" s="44" t="n">
        <x:v>54</x:v>
      </x:c>
      <x:c r="B59" s="44" t="str">
        <x:v>Citral 10%</x:v>
      </x:c>
      <x:c r="C59" s="44" t="str">
        <x:v>10% working stock</x:v>
      </x:c>
      <x:c r="D59" s="46" t="n">
        <x:v>0.1</x:v>
      </x:c>
      <x:c r="E59" s="44" t="str">
        <x:v>PREPARED STOCK</x:v>
      </x:c>
      <x:c r="F59" s="44" t="str">
        <x:v>DUPLICATE / MERGE</x:v>
      </x:c>
      <x:c r="G59" s="44" t="str">
        <x:v>Same neat Citral Natural stock as item 55</x:v>
      </x:c>
      <x:c r="H59" s="44" t="str"/>
      <x:c r="I59" s="44" t="str">
        <x:v>Citral Natural</x:v>
      </x:c>
      <x:c r="J59" s="44" t="str">
        <x:v>Merge with item 55.</x:v>
      </x:c>
      <x:c r="K59" s="44" t="str">
        <x:v>Use only at the listed supplied-stock strength.</x:v>
      </x:c>
      <x:c r="L59" s="44" t="str">
        <x:v>Item 54 is the same stock as item 55.</x:v>
      </x:c>
      <x:c r="M59" s="44" t="str">
        <x:v>C02, C05, H01, H02, H03, H09, H11, O01, PR-E01, S01, S02, S04, S07, S08, Y02, Y03, Y04, Y05, Y06, Y07</x:v>
      </x:c>
    </x:row>
    <x:row r="60" ht="45" customHeight="1">
      <x:c r="A60" s="44" t="n">
        <x:v>55</x:v>
      </x:c>
      <x:c r="B60" s="44" t="str">
        <x:v>Citral Natural 10%</x:v>
      </x:c>
      <x:c r="C60" s="44" t="str">
        <x:v>10% working dilution</x:v>
      </x:c>
      <x:c r="D60" s="46" t="n">
        <x:v>0.1</x:v>
      </x:c>
      <x:c r="E60" s="44" t="str">
        <x:v>PREPARED STOCK</x:v>
      </x:c>
      <x:c r="F60" s="44" t="str">
        <x:v>HAVE — NEAT ONLY</x:v>
      </x:c>
      <x:c r="G60" s="44" t="str">
        <x:v>Citral Natural neat</x:v>
      </x:c>
      <x:c r="H60" s="44" t="str">
        <x:v>Prepare 10% when required.</x:v>
      </x:c>
      <x:c r="I60" s="44" t="str">
        <x:v>Citral Natural</x:v>
      </x:c>
      <x:c r="J60" s="44" t="str"/>
      <x:c r="K60" s="44" t="str">
        <x:v>Use only at the listed supplied-stock strength.</x:v>
      </x:c>
      <x:c r="L60" s="44" t="str">
        <x:v>User has neat Citral Natural.</x:v>
      </x:c>
      <x:c r="M60" s="44" t="str">
        <x:v>AM-E04, AM-E12, AM-E16, AM-L02, AM-N04, AM-N14, AM-N15, PR-E05, PR-N03, PR-N10, PR-N11, PR-N12, PR-N13</x:v>
      </x:c>
    </x:row>
    <x:row r="61" ht="45" customHeight="1">
      <x:c r="A61" s="44" t="n">
        <x:v>56</x:v>
      </x:c>
      <x:c r="B61" s="44" t="str">
        <x:v>Citronellol 10%</x:v>
      </x:c>
      <x:c r="C61" s="44" t="str">
        <x:v>10% working stock</x:v>
      </x:c>
      <x:c r="D61" s="46" t="n">
        <x:v>0.1</x:v>
      </x:c>
      <x:c r="E61" s="44" t="str">
        <x:v>PREPARED STOCK</x:v>
      </x:c>
      <x:c r="F61" s="44" t="str">
        <x:v>HAVE — NEAT ONLY</x:v>
      </x:c>
      <x:c r="G61" s="44" t="str">
        <x:v>Citronellol neat</x:v>
      </x:c>
      <x:c r="H61" s="44" t="str">
        <x:v>Prepare 10% when required.</x:v>
      </x:c>
      <x:c r="I61" s="44" t="str">
        <x:v>Citronellol 10%</x:v>
      </x:c>
      <x:c r="J61" s="44" t="str"/>
      <x:c r="K61" s="44" t="str">
        <x:v>Use only at the listed supplied-stock strength.</x:v>
      </x:c>
      <x:c r="L61" s="44" t="str">
        <x:v>User has neat Citronellol.</x:v>
      </x:c>
      <x:c r="M61" s="44" t="str">
        <x:v>AM-E01, AM-E02, AM-E04, AM-E05, AM-E07, AM-E09, AM-E11, AM-E14, AM-E15, AM-L01, AM-L04, AM-L08, AM-N04, AM-N05, AM-N06, AM-N15, C01, H06, H13, H14, H15, PR-E01, PR-E03, PR-E09, PR-L04, PR-N06, S01, S02, S03, Y06, Y14</x:v>
      </x:c>
    </x:row>
    <x:row r="62" ht="45" customHeight="1">
      <x:c r="A62" s="44" t="n">
        <x:v>57</x:v>
      </x:c>
      <x:c r="B62" s="44" t="str">
        <x:v>Civet Base 10%</x:v>
      </x:c>
      <x:c r="C62" s="44" t="str">
        <x:v>10% target-required accord</x:v>
      </x:c>
      <x:c r="D62" s="46" t="n">
        <x:v>0.1</x:v>
      </x:c>
      <x:c r="E62" s="44" t="str">
        <x:v>TARGET REQUIRED / INVENTORY GAP</x:v>
      </x:c>
      <x:c r="F62" s="44" t="str">
        <x:v>GAP / CLARIFIED</x:v>
      </x:c>
      <x:c r="G62" s="44" t="str"/>
      <x:c r="H62" s="44" t="str"/>
      <x:c r="I62" s="44" t="str">
        <x:v>Civet Base 10%</x:v>
      </x:c>
      <x:c r="J62" s="44" t="str">
        <x:v>Civet Base is neither Costus Olifac nor Castoreum.</x:v>
      </x:c>
      <x:c r="K62" s="44" t="str">
        <x:v>Keep Civet Base as a separate gap.</x:v>
      </x:c>
      <x:c r="L62" s="44" t="str">
        <x:v>User asked whether this meant costus or castoreum.</x:v>
      </x:c>
      <x:c r="M62" s="44" t="str">
        <x:v>AM-N05</x:v>
      </x:c>
    </x:row>
    <x:row r="63" ht="45" customHeight="1">
      <x:c r="A63" s="44" t="n">
        <x:v>58</x:v>
      </x:c>
      <x:c r="B63" s="44" t="str">
        <x:v>Clary Sage EO</x:v>
      </x:c>
      <x:c r="C63" s="44" t="str">
        <x:v>neat / as supplied</x:v>
      </x:c>
      <x:c r="D63" s="46" t="n">
        <x:v>1</x:v>
      </x:c>
      <x:c r="E63" s="44" t="str">
        <x:v>DIRECT</x:v>
      </x:c>
      <x:c r="F63" s="44" t="str">
        <x:v>HAVE</x:v>
      </x:c>
      <x:c r="G63" s="44" t="str">
        <x:v>neat / as supplied</x:v>
      </x:c>
      <x:c r="H63" s="44" t="str"/>
      <x:c r="I63" s="44" t="str">
        <x:v>Clary Sage EO</x:v>
      </x:c>
      <x:c r="J63" s="44" t="str"/>
      <x:c r="K63" s="44" t="str">
        <x:v>Use only at the listed supplied-stock strength.</x:v>
      </x:c>
      <x:c r="L63" s="44" t="str">
        <x:v>Unchanged from prior register.</x:v>
      </x:c>
      <x:c r="M63" s="44" t="str">
        <x:v>AM-E01, AM-E02, AM-E03, AM-E04, AM-E05, AM-E06, AM-E07, AM-E08, AM-E09, AM-E10, AM-E11, AM-E12, AM-E13, AM-E14, AM-E15, AM-E16, AM-L01, AM-L02, AM-L03, AM-L04, AM-L05, AM-L06, AM-L07, AM-L08, AM-L09, AM-N01, AM-N02, AM-N03, AM-N04, AM-N05, AM-N06, AM-N07, AM-N08, AM-N09, AM-N10, AM-N11, AM-N12, AM-N13, AM-N14, AM-N15, AM-N16, C05, C07, C08, H01, H02, H03, H08, H11, H13, H14, O01, O03, PR-E01, PR-E03, PR-E04, PR-E05, PR-E06, PR-E07, PR-E09, PR-L01, PR-L04, PR-N01, PR-N02, PR-N13, S01, S02, S03, S04, S07, S08, Y01, Y02, Y03, Y04, Y05, Y06, Y07, Y08</x:v>
      </x:c>
    </x:row>
    <x:row r="64" ht="45" customHeight="1">
      <x:c r="A64" s="44" t="n">
        <x:v>59</x:v>
      </x:c>
      <x:c r="B64" s="44" t="str">
        <x:v>Clearwood</x:v>
      </x:c>
      <x:c r="C64" s="44" t="str">
        <x:v>neat / as supplied</x:v>
      </x:c>
      <x:c r="D64" s="46" t="n">
        <x:v>1</x:v>
      </x:c>
      <x:c r="E64" s="44" t="str">
        <x:v>DIRECT</x:v>
      </x:c>
      <x:c r="F64" s="44" t="str">
        <x:v>OUT OF STOCK</x:v>
      </x:c>
      <x:c r="G64" s="44" t="str"/>
      <x:c r="H64" s="44" t="str"/>
      <x:c r="I64" s="44" t="str">
        <x:v>Clearwood</x:v>
      </x:c>
      <x:c r="J64" s="44" t="str"/>
      <x:c r="K64" s="44" t="str">
        <x:v>Remove Clearwood from executable formulas; keep as inventory gap if target requires it.</x:v>
      </x:c>
      <x:c r="L64" s="44" t="str">
        <x:v>Clearwood is out of stock.</x:v>
      </x:c>
      <x:c r="M64" s="44" t="str">
        <x:v>AM-E01, AM-E02, AM-E03, AM-E04, AM-E05, AM-E06, AM-E07, AM-E08, AM-E09, AM-E10, AM-E11, AM-E12, AM-E13, AM-E14, AM-E15, AM-E16, AM-L01, AM-L02, AM-L03, AM-L04, AM-L05, AM-L06, AM-L07, AM-L08, AM-L09, AM-N01, AM-N02, AM-N03, AM-N04, AM-N05, AM-N06, AM-N07, AM-N08, AM-N09, AM-N10, AM-N11, AM-N12, AM-N13, AM-N14, AM-N15, AM-N16, C07, C08, H01, H02, H03, H04, H05, H06, H07, H08, H10, H11, H12, H13, H14, H15, O01, O03, O05, O06, PR-E01, PR-E02, PR-E04, PR-E05, PR-E07, PR-E09, PR-N01, PR-N02, PR-N03, PR-N05, PR-N06, PR-N07, PR-N08, PR-N09, S01, S02, S03, S04, S05, S06, S07, S08, Y01, Y02, Y03, Y04, Y05, Y06, Y07, Y08, Y10, Y12, Y13, Y14</x:v>
      </x:c>
    </x:row>
    <x:row r="65" ht="45" customHeight="1">
      <x:c r="A65" s="44" t="n">
        <x:v>60</x:v>
      </x:c>
      <x:c r="B65" s="44" t="str">
        <x:v>Cocoa Absolute 10%</x:v>
      </x:c>
      <x:c r="C65" s="44" t="str">
        <x:v>10% target-required working dilution</x:v>
      </x:c>
      <x:c r="D65" s="46" t="n">
        <x:v>0.1</x:v>
      </x:c>
      <x:c r="E65" s="44" t="str">
        <x:v>TARGET REQUIRED / INVENTORY GAP</x:v>
      </x:c>
      <x:c r="F65" s="44" t="str">
        <x:v>GAP</x:v>
      </x:c>
      <x:c r="G65" s="44" t="str"/>
      <x:c r="H65" s="44" t="str"/>
      <x:c r="I65" s="44" t="str">
        <x:v>Cocoa Absolute 10%</x:v>
      </x:c>
      <x:c r="J65" s="44" t="str"/>
      <x:c r="K65" s="44" t="str">
        <x:v>Do not substitute silently; target-required material is not in stock.</x:v>
      </x:c>
      <x:c r="L65" s="44" t="str">
        <x:v>Unchanged from prior register.</x:v>
      </x:c>
      <x:c r="M65" s="44" t="str">
        <x:v>AM-E12, AM-N10, H01, H07, H08</x:v>
      </x:c>
    </x:row>
    <x:row r="66" ht="45" customHeight="1">
      <x:c r="A66" s="44" t="n">
        <x:v>61</x:v>
      </x:c>
      <x:c r="B66" s="44" t="str">
        <x:v>Coffee CO2 10%</x:v>
      </x:c>
      <x:c r="C66" s="44" t="str">
        <x:v>10% target-required working dilution</x:v>
      </x:c>
      <x:c r="D66" s="46" t="n">
        <x:v>0.1</x:v>
      </x:c>
      <x:c r="E66" s="44" t="str">
        <x:v>TARGET REQUIRED / INVENTORY GAP</x:v>
      </x:c>
      <x:c r="F66" s="44" t="str">
        <x:v>GAP — CO2</x:v>
      </x:c>
      <x:c r="G66" s="44" t="str"/>
      <x:c r="H66" s="44" t="str"/>
      <x:c r="I66" s="44" t="str">
        <x:v>Coffee CO2 10%</x:v>
      </x:c>
      <x:c r="J66" s="44" t="str">
        <x:v>Coffee Absolute Grasse 10% DPG is available as a different material.</x:v>
      </x:c>
      <x:c r="K66" s="44" t="str">
        <x:v>Do not treat Coffee Absolute as Coffee CO2.</x:v>
      </x:c>
      <x:c r="L66" s="44" t="str">
        <x:v>No Coffee CO2.</x:v>
      </x:c>
      <x:c r="M66" s="44" t="str">
        <x:v>H07</x:v>
      </x:c>
    </x:row>
    <x:row r="67" ht="45" customHeight="1">
      <x:c r="A67" s="44" t="n">
        <x:v>62</x:v>
      </x:c>
      <x:c r="B67" s="44" t="str">
        <x:v>Cognac EO 10%</x:v>
      </x:c>
      <x:c r="C67" s="44" t="str">
        <x:v>10% target-required working dilution</x:v>
      </x:c>
      <x:c r="D67" s="46" t="n">
        <x:v>0.1</x:v>
      </x:c>
      <x:c r="E67" s="44" t="str">
        <x:v>TARGET REQUIRED / INVENTORY GAP</x:v>
      </x:c>
      <x:c r="F67" s="44" t="str">
        <x:v>GAP</x:v>
      </x:c>
      <x:c r="G67" s="44" t="str"/>
      <x:c r="H67" s="44" t="str"/>
      <x:c r="I67" s="44" t="str">
        <x:v>Cognac EO 10%</x:v>
      </x:c>
      <x:c r="J67" s="44" t="str"/>
      <x:c r="K67" s="44" t="str">
        <x:v>Do not substitute silently; target-required material is not in stock.</x:v>
      </x:c>
      <x:c r="L67" s="44" t="str">
        <x:v>No Cognac EO.</x:v>
      </x:c>
      <x:c r="M67" s="44" t="str">
        <x:v>AM-E02</x:v>
      </x:c>
    </x:row>
    <x:row r="68" ht="45" customHeight="1">
      <x:c r="A68" s="44" t="n">
        <x:v>63</x:v>
      </x:c>
      <x:c r="B68" s="44" t="str">
        <x:v>Coriander EO</x:v>
      </x:c>
      <x:c r="C68" s="44" t="str">
        <x:v>neat / as supplied</x:v>
      </x:c>
      <x:c r="D68" s="46" t="n">
        <x:v>1</x:v>
      </x:c>
      <x:c r="E68" s="44" t="str">
        <x:v>DIRECT</x:v>
      </x:c>
      <x:c r="F68" s="44" t="str">
        <x:v>HAVE</x:v>
      </x:c>
      <x:c r="G68" s="44" t="str">
        <x:v>Coriander Seed EO neat</x:v>
      </x:c>
      <x:c r="H68" s="44" t="str"/>
      <x:c r="I68" s="44" t="str">
        <x:v>Coriander Seed EO</x:v>
      </x:c>
      <x:c r="J68" s="44" t="str"/>
      <x:c r="K68" s="44" t="str">
        <x:v>Use only at the listed supplied-stock strength.</x:v>
      </x:c>
      <x:c r="L68" s="44" t="str">
        <x:v>Canonical coriander record.</x:v>
      </x:c>
      <x:c r="M68" s="44" t="str">
        <x:v>AM-E01, AM-E02, AM-E03, AM-E04, AM-E05, AM-E06, AM-E07, AM-E08, AM-E09, AM-E10, AM-E11, AM-E12, AM-E13, AM-E14, AM-E15, AM-E16, AM-L01, AM-L02, AM-L03, AM-L04, AM-L05, AM-L06, AM-L07, AM-L08, AM-L09, AM-N01, AM-N02, AM-N03, AM-N04, AM-N05, AM-N06, AM-N07, AM-N08, AM-N09, AM-N10, AM-N11, AM-N12, AM-N13, AM-N14, AM-N15, AM-N16, C01, H01, H02, H03, H08, H10, H11, H12, H13, H14, H15, O01, O03, O05, PR-E03, S01, S02, S03, S04, S06, S07, S08, Y02, Y03, Y04, Y05, Y06, Y07, Y10, Y12</x:v>
      </x:c>
    </x:row>
    <x:row r="69" ht="45" customHeight="1">
      <x:c r="A69" s="44" t="n">
        <x:v>64</x:v>
      </x:c>
      <x:c r="B69" s="44" t="str">
        <x:v>Coriander Seed EO</x:v>
      </x:c>
      <x:c r="C69" s="44" t="str">
        <x:v>neat</x:v>
      </x:c>
      <x:c r="D69" s="46" t="n">
        <x:v>1</x:v>
      </x:c>
      <x:c r="E69" s="44" t="str">
        <x:v>DIRECT</x:v>
      </x:c>
      <x:c r="F69" s="44" t="str">
        <x:v>DUPLICATE / MERGE</x:v>
      </x:c>
      <x:c r="G69" s="44" t="str">
        <x:v>Same as Coriander EO / Coriander Seed EO neat</x:v>
      </x:c>
      <x:c r="H69" s="44" t="str"/>
      <x:c r="I69" s="44" t="str">
        <x:v>Coriander Seed EO</x:v>
      </x:c>
      <x:c r="J69" s="44" t="str">
        <x:v>Merge with item 63.</x:v>
      </x:c>
      <x:c r="K69" s="44" t="str">
        <x:v>Use only at the listed supplied-stock strength.</x:v>
      </x:c>
      <x:c r="L69" s="44" t="str">
        <x:v>User says items 63 and 64 are the same stock.</x:v>
      </x:c>
      <x:c r="M69" s="44" t="str">
        <x:v>C07, Y01, Y08</x:v>
      </x:c>
    </x:row>
    <x:row r="70" ht="45" customHeight="1">
      <x:c r="A70" s="44" t="n">
        <x:v>65</x:v>
      </x:c>
      <x:c r="B70" s="44" t="str">
        <x:v>Costus Olifac 10%</x:v>
      </x:c>
      <x:c r="C70" s="44" t="str">
        <x:v>10% working dilution</x:v>
      </x:c>
      <x:c r="D70" s="46" t="n">
        <x:v>0.1</x:v>
      </x:c>
      <x:c r="E70" s="44" t="str">
        <x:v>PREPARED STOCK</x:v>
      </x:c>
      <x:c r="F70" s="44" t="str">
        <x:v>HAVE</x:v>
      </x:c>
      <x:c r="G70" s="44" t="str">
        <x:v>10% working dilution</x:v>
      </x:c>
      <x:c r="H70" s="44" t="str"/>
      <x:c r="I70" s="44" t="str">
        <x:v>Costus Olifac 10%</x:v>
      </x:c>
      <x:c r="J70" s="44" t="str"/>
      <x:c r="K70" s="44" t="str">
        <x:v>Use only at the listed supplied-stock strength.</x:v>
      </x:c>
      <x:c r="L70" s="44" t="str">
        <x:v>Unchanged from prior register.</x:v>
      </x:c>
      <x:c r="M70" s="44" t="str">
        <x:v>AM-E01, AM-E02, AM-E03, AM-E04, AM-E05, AM-E06, AM-E07, AM-E08, AM-E11, AM-E13, AM-E14, AM-E15, AM-E16, AM-L03, AM-L04, AM-L05, AM-L06, AM-L07, AM-L08, AM-L09, AM-N01, AM-N03, AM-N05, AM-N07, AM-N08, AM-N09, AM-N13</x:v>
      </x:c>
    </x:row>
    <x:row r="71" ht="45" customHeight="1">
      <x:c r="A71" s="44" t="n">
        <x:v>66</x:v>
      </x:c>
      <x:c r="B71" s="44" t="str">
        <x:v>Coumarin 20%</x:v>
      </x:c>
      <x:c r="C71" s="44" t="str">
        <x:v>20% in DPG</x:v>
      </x:c>
      <x:c r="D71" s="46" t="n">
        <x:v>0.2</x:v>
      </x:c>
      <x:c r="E71" s="44" t="str">
        <x:v>PREPARED STOCK</x:v>
      </x:c>
      <x:c r="F71" s="44" t="str">
        <x:v>HAVE</x:v>
      </x:c>
      <x:c r="G71" s="44" t="str">
        <x:v>20% in DPG</x:v>
      </x:c>
      <x:c r="H71" s="44" t="str"/>
      <x:c r="I71" s="44" t="str">
        <x:v>Coumarin 20%</x:v>
      </x:c>
      <x:c r="J71" s="44" t="str"/>
      <x:c r="K71" s="44" t="str">
        <x:v>Use only at the listed supplied-stock strength.</x:v>
      </x:c>
      <x:c r="L71" s="44" t="str">
        <x:v>Unchanged from prior register.</x:v>
      </x:c>
      <x:c r="M71" s="44" t="str">
        <x:v>AM-E01, AM-E02, AM-E03, AM-E04, AM-E05, AM-E06, AM-E07, AM-E08, AM-E09, AM-E10, AM-E11, AM-E12, AM-E13, AM-E14, AM-E15, AM-E16, AM-L02, AM-L03, AM-L04, AM-L05, AM-L06, AM-L07, AM-L08, AM-L09, AM-N01, AM-N02, AM-N03, AM-N04, AM-N05, AM-N06, AM-N07, AM-N08, AM-N09, AM-N10, AM-N11, AM-N12, AM-N13, AM-N14, AM-N15, AM-N16, C01, C02, C03, C04, C05, C06, C07, C08, H01, H04, H05, H06, H07, H08, H13, H14, H15, O01, O02, O03, O04, O05, PR-E01, PR-E02, PR-E03, PR-E04, PR-E05, PR-E06, PR-E07, PR-E08, PR-L01, PR-L02, PR-L04, PR-N01, PR-N02, PR-N05, PR-N06, PR-N07, PR-N08, PR-N12, S04, S05, S06, S08, Y01, Y02, Y03, Y04, Y05, Y06, Y07, Y08, Y09, Y10, Y11, Y12, Y13, Y14</x:v>
      </x:c>
    </x:row>
    <x:row r="72" ht="45" customHeight="1">
      <x:c r="A72" s="44" t="n">
        <x:v>67</x:v>
      </x:c>
      <x:c r="B72" s="44" t="str">
        <x:v>Cumin EO 10%</x:v>
      </x:c>
      <x:c r="C72" s="44" t="str">
        <x:v>10% target-required working dilution</x:v>
      </x:c>
      <x:c r="D72" s="46" t="n">
        <x:v>0.1</x:v>
      </x:c>
      <x:c r="E72" s="44" t="str">
        <x:v>TARGET REQUIRED / INVENTORY GAP</x:v>
      </x:c>
      <x:c r="F72" s="44" t="str">
        <x:v>GAP</x:v>
      </x:c>
      <x:c r="G72" s="44" t="str"/>
      <x:c r="H72" s="44" t="str"/>
      <x:c r="I72" s="44" t="str">
        <x:v>Cumin EO 10%</x:v>
      </x:c>
      <x:c r="J72" s="44" t="str"/>
      <x:c r="K72" s="44" t="str">
        <x:v>Do not substitute silently; target-required material is not in stock.</x:v>
      </x:c>
      <x:c r="L72" s="44" t="str">
        <x:v>No Cumin EO.</x:v>
      </x:c>
      <x:c r="M72" s="44" t="str">
        <x:v>AM-N15</x:v>
      </x:c>
    </x:row>
    <x:row r="73" ht="45" customHeight="1">
      <x:c r="A73" s="44" t="n">
        <x:v>68</x:v>
      </x:c>
      <x:c r="B73" s="44" t="str">
        <x:v>Cyclamen Aldehyde 10%</x:v>
      </x:c>
      <x:c r="C73" s="44" t="str">
        <x:v>10% working stock</x:v>
      </x:c>
      <x:c r="D73" s="46" t="n">
        <x:v>0.1</x:v>
      </x:c>
      <x:c r="E73" s="44" t="str">
        <x:v>PREPARED STOCK</x:v>
      </x:c>
      <x:c r="F73" s="44" t="str">
        <x:v>HAVE — NEAT + 10%</x:v>
      </x:c>
      <x:c r="G73" s="44" t="str">
        <x:v>Cyclamen Aldehyde neat and 10% working dilution</x:v>
      </x:c>
      <x:c r="H73" s="44" t="str"/>
      <x:c r="I73" s="44" t="str">
        <x:v>Cyclamen Aldehyde 10%</x:v>
      </x:c>
      <x:c r="J73" s="44" t="str"/>
      <x:c r="K73" s="44" t="str">
        <x:v>Formula must name the exact stock strength.</x:v>
      </x:c>
      <x:c r="L73" s="44" t="str">
        <x:v>Both neat and 10% are available.</x:v>
      </x:c>
      <x:c r="M73" s="44" t="str">
        <x:v>C03, C04, C06, C07, O03, PR-E03, PR-E06, PR-L02, PR-L05, PR-N01, PR-N03, S07, Y05, Y08, Y12, Y13</x:v>
      </x:c>
    </x:row>
    <x:row r="74" ht="45" customHeight="1">
      <x:c r="A74" s="44" t="n">
        <x:v>69</x:v>
      </x:c>
      <x:c r="B74" s="44" t="str">
        <x:v>Cypress EO</x:v>
      </x:c>
      <x:c r="C74" s="44" t="str">
        <x:v>target-required authentic material</x:v>
      </x:c>
      <x:c r="D74" s="46" t="n">
        <x:v>1</x:v>
      </x:c>
      <x:c r="E74" s="44" t="str">
        <x:v>TARGET REQUIRED / INVENTORY GAP</x:v>
      </x:c>
      <x:c r="F74" s="44" t="str">
        <x:v>GAP</x:v>
      </x:c>
      <x:c r="G74" s="44" t="str"/>
      <x:c r="H74" s="44" t="str"/>
      <x:c r="I74" s="44" t="str">
        <x:v>Cypress EO</x:v>
      </x:c>
      <x:c r="J74" s="44" t="str"/>
      <x:c r="K74" s="44" t="str">
        <x:v>Do not substitute silently; target-required material is not in stock.</x:v>
      </x:c>
      <x:c r="L74" s="44" t="str">
        <x:v>Cypress EO remains a gap.</x:v>
      </x:c>
      <x:c r="M74" s="44" t="str">
        <x:v>AM-N10, C05, PR-E04</x:v>
      </x:c>
    </x:row>
    <x:row r="75" ht="45" customHeight="1">
      <x:c r="A75" s="44" t="n">
        <x:v>70</x:v>
      </x:c>
      <x:c r="B75" s="44" t="str">
        <x:v>D-Limonene</x:v>
      </x:c>
      <x:c r="C75" s="44" t="str">
        <x:v>neat / as supplied</x:v>
      </x:c>
      <x:c r="D75" s="46" t="n">
        <x:v>1</x:v>
      </x:c>
      <x:c r="E75" s="44" t="str">
        <x:v>DIRECT</x:v>
      </x:c>
      <x:c r="F75" s="44" t="str">
        <x:v>HAVE</x:v>
      </x:c>
      <x:c r="G75" s="44" t="str">
        <x:v>neat / as supplied</x:v>
      </x:c>
      <x:c r="H75" s="44" t="str"/>
      <x:c r="I75" s="44" t="str">
        <x:v>D-Limonene</x:v>
      </x:c>
      <x:c r="J75" s="44" t="str"/>
      <x:c r="K75" s="44" t="str">
        <x:v>Use only at the listed supplied-stock strength.</x:v>
      </x:c>
      <x:c r="L75" s="44" t="str">
        <x:v>Unchanged from prior register.</x:v>
      </x:c>
      <x:c r="M75" s="44" t="str">
        <x:v>AM-E01, AM-E02, AM-E03, AM-E04, AM-E05, AM-E06, AM-E07, AM-E08, AM-E09, AM-E10, AM-E12, AM-E14, AM-E15, AM-E16, AM-L01, AM-L02, AM-L03, AM-L04, AM-L06, AM-L08, AM-L09, AM-N02, AM-N04, AM-N05, AM-N06, AM-N07, AM-N09, AM-N10, AM-N11, AM-N13, AM-N14, AM-N15, PR-E05, PR-N03, PR-N10, PR-N11, PR-N12, PR-N13, PR-N14</x:v>
      </x:c>
    </x:row>
    <x:row r="76" ht="45" customHeight="1">
      <x:c r="A76" s="44" t="n">
        <x:v>71</x:v>
      </x:c>
      <x:c r="B76" s="44" t="str">
        <x:v>Damascenone 1%</x:v>
      </x:c>
      <x:c r="C76" s="44" t="str">
        <x:v>1% working stock</x:v>
      </x:c>
      <x:c r="D76" s="46" t="n">
        <x:v>0.01</x:v>
      </x:c>
      <x:c r="E76" s="44" t="str">
        <x:v>TRACE PREMIX</x:v>
      </x:c>
      <x:c r="F76" s="44" t="str">
        <x:v>HAVE</x:v>
      </x:c>
      <x:c r="G76" s="44" t="str">
        <x:v>1% working stock</x:v>
      </x:c>
      <x:c r="H76" s="44" t="str"/>
      <x:c r="I76" s="44" t="str">
        <x:v>Damascenone 1%</x:v>
      </x:c>
      <x:c r="J76" s="44" t="str"/>
      <x:c r="K76" s="44" t="str">
        <x:v>Use only at the listed supplied-stock strength.</x:v>
      </x:c>
      <x:c r="L76" s="44" t="str">
        <x:v>Unchanged from prior register.</x:v>
      </x:c>
      <x:c r="M76" s="44" t="str">
        <x:v>C01, C02, C03, C06, H10, H15, O03, O04, O05, PR-E02, PR-E04, S02, S04, S05, S06, S08, Y02, Y04, Y05, Y06, Y07, Y09, Y10, Y11, Y12, Y13, Y14</x:v>
      </x:c>
    </x:row>
    <x:row r="77" ht="45" customHeight="1">
      <x:c r="A77" s="44" t="n">
        <x:v>72</x:v>
      </x:c>
      <x:c r="B77" s="44" t="str">
        <x:v>Davana EO 10%</x:v>
      </x:c>
      <x:c r="C77" s="44" t="str">
        <x:v>10% target-required working dilution</x:v>
      </x:c>
      <x:c r="D77" s="46" t="n">
        <x:v>0.1</x:v>
      </x:c>
      <x:c r="E77" s="44" t="str">
        <x:v>TARGET REQUIRED / INVENTORY GAP</x:v>
      </x:c>
      <x:c r="F77" s="44" t="str">
        <x:v>GAP</x:v>
      </x:c>
      <x:c r="G77" s="44" t="str"/>
      <x:c r="H77" s="44" t="str"/>
      <x:c r="I77" s="44" t="str">
        <x:v>Davana EO 10%</x:v>
      </x:c>
      <x:c r="J77" s="44" t="str"/>
      <x:c r="K77" s="44" t="str">
        <x:v>Do not substitute silently; target-required material is not in stock.</x:v>
      </x:c>
      <x:c r="L77" s="44" t="str">
        <x:v>Unchanged from prior register.</x:v>
      </x:c>
      <x:c r="M77" s="44" t="str">
        <x:v>AM-N15</x:v>
      </x:c>
    </x:row>
    <x:row r="78" ht="45" customHeight="1">
      <x:c r="A78" s="44" t="n">
        <x:v>73</x:v>
      </x:c>
      <x:c r="B78" s="44" t="str">
        <x:v>Dihydro Beta Ionone</x:v>
      </x:c>
      <x:c r="C78" s="44" t="str">
        <x:v>neat / as supplied</x:v>
      </x:c>
      <x:c r="D78" s="46" t="n">
        <x:v>1</x:v>
      </x:c>
      <x:c r="E78" s="44" t="str">
        <x:v>DIRECT</x:v>
      </x:c>
      <x:c r="F78" s="44" t="str">
        <x:v>HAVE</x:v>
      </x:c>
      <x:c r="G78" s="44" t="str">
        <x:v>neat / as supplied</x:v>
      </x:c>
      <x:c r="H78" s="44" t="str"/>
      <x:c r="I78" s="44" t="str">
        <x:v>Dihydro Beta Ionone</x:v>
      </x:c>
      <x:c r="J78" s="44" t="str"/>
      <x:c r="K78" s="44" t="str">
        <x:v>Use only at the listed supplied-stock strength.</x:v>
      </x:c>
      <x:c r="L78" s="44" t="str">
        <x:v>Unchanged from prior register.</x:v>
      </x:c>
      <x:c r="M78" s="44" t="str">
        <x:v>H01, H02, H04, H05, H06, H07, H08, O01, O02, O03, O04, PR-E01, PR-E02, Y03, Y04, Y06, Y07, Y09, Y11</x:v>
      </x:c>
    </x:row>
    <x:row r="79" ht="45" customHeight="1">
      <x:c r="A79" s="44" t="n">
        <x:v>74</x:v>
      </x:c>
      <x:c r="B79" s="44" t="str">
        <x:v>Dihydro Beta Ionone 10%</x:v>
      </x:c>
      <x:c r="C79" s="44" t="str">
        <x:v>10% working stock</x:v>
      </x:c>
      <x:c r="D79" s="46" t="n">
        <x:v>0.1</x:v>
      </x:c>
      <x:c r="E79" s="44" t="str">
        <x:v>PREPARED STOCK</x:v>
      </x:c>
      <x:c r="F79" s="44" t="str">
        <x:v>HAVE — NEAT ONLY</x:v>
      </x:c>
      <x:c r="G79" s="44" t="str">
        <x:v>Dihydro Beta Ionone neat</x:v>
      </x:c>
      <x:c r="H79" s="44" t="str">
        <x:v>Prepare 10% if required.</x:v>
      </x:c>
      <x:c r="I79" s="44" t="str">
        <x:v>Dihydro Beta Ionone 10%</x:v>
      </x:c>
      <x:c r="J79" s="44" t="str"/>
      <x:c r="K79" s="44" t="str">
        <x:v>Do not dose as the listed 10% stock unless freshly prepared.</x:v>
      </x:c>
      <x:c r="L79" s="44" t="str">
        <x:v>Only neat stock is available.</x:v>
      </x:c>
      <x:c r="M79" s="44" t="str">
        <x:v>AM-E01, AM-E09, AM-E10, AM-L07, AM-N01, AM-N12, AM-N16, PR-L03, PR-L04, PR-L05, PR-N02, PR-N03, PR-N04, PR-N11, Y01</x:v>
      </x:c>
    </x:row>
    <x:row r="80" ht="45" customHeight="1">
      <x:c r="A80" s="44" t="n">
        <x:v>75</x:v>
      </x:c>
      <x:c r="B80" s="44" t="str">
        <x:v>Dihydromyrcenol</x:v>
      </x:c>
      <x:c r="C80" s="44" t="str">
        <x:v>neat / as supplied</x:v>
      </x:c>
      <x:c r="D80" s="46" t="n">
        <x:v>1</x:v>
      </x:c>
      <x:c r="E80" s="44" t="str">
        <x:v>DIRECT</x:v>
      </x:c>
      <x:c r="F80" s="44" t="str">
        <x:v>HAVE</x:v>
      </x:c>
      <x:c r="G80" s="44" t="str">
        <x:v>neat / as supplied</x:v>
      </x:c>
      <x:c r="H80" s="44" t="str"/>
      <x:c r="I80" s="44" t="str">
        <x:v>Dihydromyrcenol</x:v>
      </x:c>
      <x:c r="J80" s="44" t="str"/>
      <x:c r="K80" s="44" t="str">
        <x:v>Use only at the listed supplied-stock strength.</x:v>
      </x:c>
      <x:c r="L80" s="44" t="str">
        <x:v>Unchanged from prior register.</x:v>
      </x:c>
      <x:c r="M80" s="44" t="str">
        <x:v>AM-E01, AM-E02, AM-E03, AM-E04, AM-E05, AM-E06, AM-E07, AM-E08, AM-E09, AM-E10, AM-E11, AM-E12, AM-E13, AM-E14, AM-E15, AM-E16, AM-L01, AM-L02, AM-L03, AM-L04, AM-L05, AM-L06, AM-L07, AM-L08, AM-L09, AM-N01, AM-N02, AM-N03, AM-N04, AM-N05, AM-N06, AM-N07, AM-N08, AM-N09, AM-N10, AM-N11, AM-N12, AM-N13, AM-N15, AM-N16, C03, C05, C06, H09, H11, H12, H14, H15, PR-E01, PR-E03, PR-E04, PR-E06, PR-E07, PR-E08, PR-L01, PR-L02, PR-L05, PR-N01, PR-N02, PR-N03, PR-N04, S01, S02, S03, S04, S05, S07, Y02, Y05, Y12, Y13</x:v>
      </x:c>
    </x:row>
    <x:row r="81" ht="45" customHeight="1">
      <x:c r="A81" s="44" t="n">
        <x:v>76</x:v>
      </x:c>
      <x:c r="B81" s="44" t="str">
        <x:v>DPG</x:v>
      </x:c>
      <x:c r="C81" s="44" t="str">
        <x:v>neat</x:v>
      </x:c>
      <x:c r="D81" s="46" t="n">
        <x:v>0</x:v>
      </x:c>
      <x:c r="E81" s="44" t="str">
        <x:v>DIRECT</x:v>
      </x:c>
      <x:c r="F81" s="44" t="str">
        <x:v>HAVE</x:v>
      </x:c>
      <x:c r="G81" s="44" t="str">
        <x:v>neat</x:v>
      </x:c>
      <x:c r="H81" s="44" t="str"/>
      <x:c r="I81" s="44" t="str">
        <x:v>DPG</x:v>
      </x:c>
      <x:c r="J81" s="44" t="str"/>
      <x:c r="K81" s="44" t="str">
        <x:v>Use only at the listed supplied-stock strength.</x:v>
      </x:c>
      <x:c r="L81" s="44" t="str">
        <x:v>Unchanged from prior register.</x:v>
      </x:c>
      <x:c r="M81" s="44" t="str">
        <x:v>C07, C08, Y08</x:v>
      </x:c>
    </x:row>
    <x:row r="82" ht="45" customHeight="1">
      <x:c r="A82" s="44" t="n">
        <x:v>77</x:v>
      </x:c>
      <x:c r="B82" s="44" t="str">
        <x:v>Ebanol</x:v>
      </x:c>
      <x:c r="C82" s="44" t="str">
        <x:v>neat</x:v>
      </x:c>
      <x:c r="D82" s="46" t="n">
        <x:v>1</x:v>
      </x:c>
      <x:c r="E82" s="44" t="str">
        <x:v>DIRECT</x:v>
      </x:c>
      <x:c r="F82" s="44" t="str">
        <x:v>HAVE</x:v>
      </x:c>
      <x:c r="G82" s="44" t="str">
        <x:v>neat</x:v>
      </x:c>
      <x:c r="H82" s="44" t="str"/>
      <x:c r="I82" s="44" t="str">
        <x:v>Ebanol</x:v>
      </x:c>
      <x:c r="J82" s="44" t="str"/>
      <x:c r="K82" s="44" t="str">
        <x:v>Use only at the listed supplied-stock strength.</x:v>
      </x:c>
      <x:c r="L82" s="44" t="str">
        <x:v>Unchanged from prior register.</x:v>
      </x:c>
      <x:c r="M82" s="44" t="str">
        <x:v>AM-E01, AM-E02, AM-E03, AM-E04, AM-E05, AM-E06, AM-E07, AM-E08, AM-E09, AM-E10, AM-E11, AM-E12, AM-E13, AM-E14, AM-E15, AM-E16, AM-L01, AM-L02, AM-L03, AM-L04, AM-L05, AM-L06, AM-L07, AM-L08, AM-L09, AM-N01, AM-N02, AM-N03, AM-N04, AM-N05, AM-N06, AM-N07, AM-N08, AM-N09, AM-N10, AM-N11, AM-N12, AM-N13, AM-N14, AM-N15, AM-N16, C01, C05, C07, C08, H06, H13, PR-E02, PR-L04, PR-L05, PR-N04, PR-N05, PR-N12, PR-N14, S05, S06, Y01, Y08</x:v>
      </x:c>
    </x:row>
    <x:row r="83" ht="45" customHeight="1">
      <x:c r="A83" s="44" t="n">
        <x:v>78</x:v>
      </x:c>
      <x:c r="B83" s="44" t="str">
        <x:v>Elemi EO</x:v>
      </x:c>
      <x:c r="C83" s="44" t="str">
        <x:v>target-required authentic material</x:v>
      </x:c>
      <x:c r="D83" s="46" t="n">
        <x:v>1</x:v>
      </x:c>
      <x:c r="E83" s="44" t="str">
        <x:v>TARGET REQUIRED / INVENTORY GAP</x:v>
      </x:c>
      <x:c r="F83" s="44" t="str">
        <x:v>HAVE</x:v>
      </x:c>
      <x:c r="G83" s="44" t="str">
        <x:v>Elemi EO neat</x:v>
      </x:c>
      <x:c r="H83" s="44" t="str"/>
      <x:c r="I83" s="44" t="str">
        <x:v>Elemi EO</x:v>
      </x:c>
      <x:c r="J83" s="44" t="str"/>
      <x:c r="K83" s="44" t="str">
        <x:v>Do not substitute silently; target-required material is not in stock.</x:v>
      </x:c>
      <x:c r="L83" s="44" t="str">
        <x:v>Elemi EO has been restocked.</x:v>
      </x:c>
      <x:c r="M83" s="44" t="str">
        <x:v>AM-N15, H11, H14, S02, S03</x:v>
      </x:c>
    </x:row>
    <x:row r="84" ht="45" customHeight="1">
      <x:c r="A84" s="44" t="n">
        <x:v>79</x:v>
      </x:c>
      <x:c r="B84" s="44" t="str">
        <x:v>Ethyl 2-Methylbutyrate 0.1%</x:v>
      </x:c>
      <x:c r="C84" s="44" t="str">
        <x:v>0.1% in DPG</x:v>
      </x:c>
      <x:c r="D84" s="46" t="n">
        <x:v>0.001</x:v>
      </x:c>
      <x:c r="E84" s="44" t="str">
        <x:v>TRACE PREMIX</x:v>
      </x:c>
      <x:c r="F84" s="44" t="str">
        <x:v>HAVE</x:v>
      </x:c>
      <x:c r="G84" s="44" t="str">
        <x:v>0.1% in DPG</x:v>
      </x:c>
      <x:c r="H84" s="44" t="str"/>
      <x:c r="I84" s="44" t="str">
        <x:v>Ethyl 2-Methylbutyrate 0.1%</x:v>
      </x:c>
      <x:c r="J84" s="44" t="str"/>
      <x:c r="K84" s="44" t="str">
        <x:v>Use only at the listed supplied-stock strength.</x:v>
      </x:c>
      <x:c r="L84" s="44" t="str">
        <x:v>Unchanged from prior register.</x:v>
      </x:c>
      <x:c r="M84" s="44" t="str">
        <x:v>AM-E06, AM-L02, AM-N03, AM-N06, AM-N10</x:v>
      </x:c>
    </x:row>
    <x:row r="85" ht="45" customHeight="1">
      <x:c r="A85" s="44" t="n">
        <x:v>80</x:v>
      </x:c>
      <x:c r="B85" s="44" t="str">
        <x:v>Ethyl Vanillin 10%</x:v>
      </x:c>
      <x:c r="C85" s="44" t="str">
        <x:v>10% in DPG</x:v>
      </x:c>
      <x:c r="D85" s="46" t="n">
        <x:v>0.1</x:v>
      </x:c>
      <x:c r="E85" s="44" t="str">
        <x:v>PREPARED STOCK</x:v>
      </x:c>
      <x:c r="F85" s="44" t="str">
        <x:v>HAVE</x:v>
      </x:c>
      <x:c r="G85" s="44" t="str">
        <x:v>10% in DPG</x:v>
      </x:c>
      <x:c r="H85" s="44" t="str"/>
      <x:c r="I85" s="44" t="str">
        <x:v>Ethyl Vanillin 10%</x:v>
      </x:c>
      <x:c r="J85" s="44" t="str"/>
      <x:c r="K85" s="44" t="str">
        <x:v>Use only at the listed supplied-stock strength.</x:v>
      </x:c>
      <x:c r="L85" s="44" t="str">
        <x:v>Unchanged from prior register.</x:v>
      </x:c>
      <x:c r="M85" s="44" t="str">
        <x:v>AM-E02, AM-E03, AM-E04, AM-E05, AM-E06, AM-E07, AM-E10, AM-E11, AM-E12, AM-E13, AM-E14, AM-E15, AM-L02, AM-L03, AM-L04, AM-L05, AM-L06, AM-L09, AM-N01, AM-N02, AM-N04, AM-N05, AM-N06, AM-N08, AM-N09, AM-N10, AM-N11, AM-N12, AM-N14, AM-N15, AM-N16, C08, PR-E02, PR-E04, PR-E06, PR-N06, PR-N13</x:v>
      </x:c>
    </x:row>
    <x:row r="86" ht="45" customHeight="1">
      <x:c r="A86" s="44" t="n">
        <x:v>81</x:v>
      </x:c>
      <x:c r="B86" s="44" t="str">
        <x:v>Eugenol 10%</x:v>
      </x:c>
      <x:c r="C86" s="44" t="str">
        <x:v>10% in DPG</x:v>
      </x:c>
      <x:c r="D86" s="46" t="n">
        <x:v>0.1</x:v>
      </x:c>
      <x:c r="E86" s="44" t="str">
        <x:v>PREPARED STOCK</x:v>
      </x:c>
      <x:c r="F86" s="44" t="str">
        <x:v>HAVE</x:v>
      </x:c>
      <x:c r="G86" s="44" t="str">
        <x:v>10% in DPG</x:v>
      </x:c>
      <x:c r="H86" s="44" t="str"/>
      <x:c r="I86" s="44" t="str">
        <x:v>Eugenol 10%</x:v>
      </x:c>
      <x:c r="J86" s="44" t="str"/>
      <x:c r="K86" s="44" t="str">
        <x:v>Use only at the listed supplied-stock strength.</x:v>
      </x:c>
      <x:c r="L86" s="44" t="str">
        <x:v>Unchanged from prior register.</x:v>
      </x:c>
      <x:c r="M86" s="44" t="str">
        <x:v>AM-E02, AM-E03, AM-E04, AM-E06, AM-E07, AM-E11, AM-E12, AM-E13, AM-E15, AM-L01, AM-L06, AM-L08, AM-N03, AM-N05, AM-N07, AM-N08, AM-N10, AM-N13, AM-N14, AM-N15, AM-N16, Y08</x:v>
      </x:c>
    </x:row>
    <x:row r="87" ht="45" customHeight="1">
      <x:c r="A87" s="44" t="n">
        <x:v>82</x:v>
      </x:c>
      <x:c r="B87" s="44" t="str">
        <x:v>Evernyl 20%</x:v>
      </x:c>
      <x:c r="C87" s="44" t="str">
        <x:v>20% in DPG; verify clarity</x:v>
      </x:c>
      <x:c r="D87" s="46" t="n">
        <x:v>0.2</x:v>
      </x:c>
      <x:c r="E87" s="44" t="str">
        <x:v>VERIFY LABEL</x:v>
      </x:c>
      <x:c r="F87" s="44" t="str">
        <x:v>HAVE — SUSPENSION / MIXTURE</x:v>
      </x:c>
      <x:c r="G87" s="44" t="str">
        <x:v>Evernyl nominal 20% in DPG; not a true solution</x:v>
      </x:c>
      <x:c r="H87" s="44" t="str"/>
      <x:c r="I87" s="44" t="str">
        <x:v>Evernyl 20%</x:v>
      </x:c>
      <x:c r="J87" s="44" t="str"/>
      <x:c r="K87" s="44" t="str">
        <x:v>Shake thoroughly before every use; record as a heterogeneous mixture, not a clear solution.</x:v>
      </x:c>
      <x:c r="L87" s="44" t="str">
        <x:v>User says it must be shaken before each use.</x:v>
      </x:c>
      <x:c r="M87" s="44" t="str">
        <x:v>AM-E01, AM-E02, AM-E03, AM-E04, AM-E05, AM-E06, AM-E07, AM-E08, AM-E09, AM-E10, AM-E11, AM-E12, AM-E13, AM-E14, AM-E15, AM-E16, AM-L01, AM-L02, AM-L03, AM-L04, AM-L05, AM-L06, AM-L07, AM-L08, AM-L09, AM-N01, AM-N02, AM-N03, AM-N04, AM-N05, AM-N06, AM-N07, AM-N08, AM-N09, AM-N10, AM-N11, AM-N12, AM-N13, AM-N14, AM-N15, AM-N16, C07, C08, PR-E07, Y08</x:v>
      </x:c>
    </x:row>
    <x:row r="88" ht="45" customHeight="1">
      <x:c r="A88" s="44" t="n">
        <x:v>83</x:v>
      </x:c>
      <x:c r="B88" s="44" t="str">
        <x:v>Exaltolide 10%</x:v>
      </x:c>
      <x:c r="C88" s="44" t="str">
        <x:v>10% working stock</x:v>
      </x:c>
      <x:c r="D88" s="46" t="n">
        <x:v>0.1</x:v>
      </x:c>
      <x:c r="E88" s="44" t="str">
        <x:v>PREPARED STOCK</x:v>
      </x:c>
      <x:c r="F88" s="44" t="str">
        <x:v>HAVE</x:v>
      </x:c>
      <x:c r="G88" s="44" t="str">
        <x:v>10% working stock</x:v>
      </x:c>
      <x:c r="H88" s="44" t="str"/>
      <x:c r="I88" s="44" t="str">
        <x:v>Exaltolide 10%</x:v>
      </x:c>
      <x:c r="J88" s="44" t="str"/>
      <x:c r="K88" s="44" t="str">
        <x:v>Use only at the listed supplied-stock strength.</x:v>
      </x:c>
      <x:c r="L88" s="44" t="str">
        <x:v>Unchanged from prior register.</x:v>
      </x:c>
      <x:c r="M88"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PR-E04, PR-L03, PR-L05, PR-N01, PR-N04, PR-N08, PR-N10, PR-N11, PR-N13, S01, S02, S03, S04, S05, S06, S07, S08, Y01, Y02, Y03, Y04, Y05, Y06, Y07, Y08, Y09, Y10, Y11, Y12, Y13, Y14</x:v>
      </x:c>
    </x:row>
    <x:row r="89" ht="45" customHeight="1">
      <x:c r="A89" s="44" t="n">
        <x:v>84</x:v>
      </x:c>
      <x:c r="B89" s="44" t="str">
        <x:v>Farnesol</x:v>
      </x:c>
      <x:c r="C89" s="44" t="str">
        <x:v>neat / as supplied</x:v>
      </x:c>
      <x:c r="D89" s="46" t="n">
        <x:v>1</x:v>
      </x:c>
      <x:c r="E89" s="44" t="str">
        <x:v>TRACE PREMIX</x:v>
      </x:c>
      <x:c r="F89" s="44" t="str">
        <x:v>HAVE</x:v>
      </x:c>
      <x:c r="G89" s="44" t="str">
        <x:v>neat / as supplied</x:v>
      </x:c>
      <x:c r="H89" s="44" t="str"/>
      <x:c r="I89" s="44" t="str">
        <x:v>Farnesol</x:v>
      </x:c>
      <x:c r="J89" s="44" t="str"/>
      <x:c r="K89" s="44" t="str">
        <x:v>Use only at the listed supplied-stock strength.</x:v>
      </x:c>
      <x:c r="L89" s="44" t="str">
        <x:v>Unchanged from prior register.</x:v>
      </x:c>
      <x:c r="M89" s="44" t="str">
        <x:v>C01, C02, C03, C04, C06, H01, H02, H03, H04, H05, H06, H07, H10, H11, H12, O01, O02, O03, O04, O05, O06, S07, Y02, Y03, Y04, Y05, Y06, Y07, Y09, Y10, Y11, Y12, Y13, Y14</x:v>
      </x:c>
    </x:row>
    <x:row r="90" ht="45" customHeight="1">
      <x:c r="A90" s="44" t="n">
        <x:v>85</x:v>
      </x:c>
      <x:c r="B90" s="44" t="str">
        <x:v>Fenugreek Accord 10%</x:v>
      </x:c>
      <x:c r="C90" s="44" t="str">
        <x:v>10% target-required accord</x:v>
      </x:c>
      <x:c r="D90" s="46" t="n">
        <x:v>0.1</x:v>
      </x:c>
      <x:c r="E90" s="44" t="str">
        <x:v>TARGET REQUIRED / INVENTORY GAP</x:v>
      </x:c>
      <x:c r="F90" s="44" t="str">
        <x:v>GAP</x:v>
      </x:c>
      <x:c r="G90" s="44" t="str"/>
      <x:c r="H90" s="44" t="str"/>
      <x:c r="I90" s="44" t="str">
        <x:v>Fenugreek Accord 10%</x:v>
      </x:c>
      <x:c r="J90" s="44" t="str"/>
      <x:c r="K90" s="44" t="str">
        <x:v>Do not substitute silently; target-required material is not in stock.</x:v>
      </x:c>
      <x:c r="L90" s="44" t="str">
        <x:v>Unchanged from prior register.</x:v>
      </x:c>
      <x:c r="M90" s="44" t="str">
        <x:v>AM-N07</x:v>
      </x:c>
    </x:row>
    <x:row r="91" ht="45" customHeight="1">
      <x:c r="A91" s="44" t="n">
        <x:v>86</x:v>
      </x:c>
      <x:c r="B91" s="44" t="str">
        <x:v>Fir Balsam Absolute 10%</x:v>
      </x:c>
      <x:c r="C91" s="44" t="str">
        <x:v>10% target-required working dilution</x:v>
      </x:c>
      <x:c r="D91" s="46" t="n">
        <x:v>0.1</x:v>
      </x:c>
      <x:c r="E91" s="44" t="str">
        <x:v>TARGET REQUIRED / INVENTORY GAP</x:v>
      </x:c>
      <x:c r="F91" s="44" t="str">
        <x:v>GAP</x:v>
      </x:c>
      <x:c r="G91" s="44" t="str"/>
      <x:c r="H91" s="44" t="str"/>
      <x:c r="I91" s="44" t="str">
        <x:v>Fir Balsam Absolute 10%</x:v>
      </x:c>
      <x:c r="J91" s="44" t="str"/>
      <x:c r="K91" s="44" t="str">
        <x:v>Do not substitute silently; target-required material is not in stock.</x:v>
      </x:c>
      <x:c r="L91" s="44" t="str">
        <x:v>Unchanged from prior register.</x:v>
      </x:c>
      <x:c r="M91" s="44" t="str">
        <x:v>AM-N10</x:v>
      </x:c>
    </x:row>
    <x:row r="92" ht="45" customHeight="1">
      <x:c r="A92" s="44" t="n">
        <x:v>87</x:v>
      </x:c>
      <x:c r="B92" s="44" t="str">
        <x:v>Floralozone 10%</x:v>
      </x:c>
      <x:c r="C92" s="44" t="str">
        <x:v>10% working stock</x:v>
      </x:c>
      <x:c r="D92" s="46" t="n">
        <x:v>0.1</x:v>
      </x:c>
      <x:c r="E92" s="44" t="str">
        <x:v>PREPARED STOCK</x:v>
      </x:c>
      <x:c r="F92" s="44" t="str">
        <x:v>HAVE</x:v>
      </x:c>
      <x:c r="G92" s="44" t="str">
        <x:v>10% working stock</x:v>
      </x:c>
      <x:c r="H92" s="44" t="str"/>
      <x:c r="I92" s="44" t="str">
        <x:v>Floralozone 10%</x:v>
      </x:c>
      <x:c r="J92" s="44" t="str"/>
      <x:c r="K92" s="44" t="str">
        <x:v>Use only at the listed supplied-stock strength.</x:v>
      </x:c>
      <x:c r="L92" s="44" t="str">
        <x:v>Unchanged from prior register.</x:v>
      </x:c>
      <x:c r="M92" s="44" t="str">
        <x:v>AM-N06, C03, C04, PR-E01, PR-E06, PR-L02, PR-N03, PR-N08, S07, Y05</x:v>
      </x:c>
    </x:row>
    <x:row r="93" ht="45" customHeight="1">
      <x:c r="A93" s="44" t="n">
        <x:v>88</x:v>
      </x:c>
      <x:c r="B93" s="44" t="str">
        <x:v>Florol</x:v>
      </x:c>
      <x:c r="C93" s="44" t="str">
        <x:v>neat / as supplied</x:v>
      </x:c>
      <x:c r="D93" s="46" t="n">
        <x:v>1</x:v>
      </x:c>
      <x:c r="E93" s="44" t="str">
        <x:v>DIRECT</x:v>
      </x:c>
      <x:c r="F93" s="44" t="str">
        <x:v>HAVE</x:v>
      </x:c>
      <x:c r="G93" s="44" t="str">
        <x:v>neat / as supplied</x:v>
      </x:c>
      <x:c r="H93" s="44" t="str"/>
      <x:c r="I93" s="44" t="str">
        <x:v>Florol</x:v>
      </x:c>
      <x:c r="J93" s="44" t="str"/>
      <x:c r="K93" s="44" t="str">
        <x:v>Use only at the listed supplied-stock strength.</x:v>
      </x:c>
      <x:c r="L93" s="44" t="str">
        <x:v>Unchanged from prior register.</x:v>
      </x:c>
      <x:c r="M93" s="44" t="str">
        <x:v>AM-E01, AM-E02, AM-E03, AM-E04, AM-E05, AM-E06, AM-E07, AM-E08, AM-E09, AM-E10, AM-E11, AM-E12, AM-E13, AM-E14, AM-E15, AM-L01, AM-L02, AM-L03, AM-L04, AM-L05, AM-L06, AM-L07, AM-L08, AM-L09, AM-N01, AM-N02, AM-N03, AM-N04, AM-N05, AM-N06, AM-N07, AM-N08, AM-N09, AM-N11, AM-N12, AM-N13, AM-N14, AM-N15, AM-N16, C02, C03, C04, C05, C06, C08, H01, H02, H03, H04, H05, H06, H07, H09, H10, H11, H12, O01, O02, O03, O05, O06, PR-E01, PR-E02, PR-E03, PR-E04, PR-E06, PR-E07, PR-E08, PR-L03, PR-L05, PR-N01, PR-N02, PR-N03, PR-N04, S07, Y01, Y03, Y04, Y05, Y06</x:v>
      </x:c>
    </x:row>
    <x:row r="94" ht="45" customHeight="1">
      <x:c r="A94" s="44" t="n">
        <x:v>89</x:v>
      </x:c>
      <x:c r="B94" s="44" t="str">
        <x:v>Fresh Ginger Oil</x:v>
      </x:c>
      <x:c r="C94" s="44" t="str">
        <x:v>neat; verify current stock</x:v>
      </x:c>
      <x:c r="D94" s="46" t="n">
        <x:v>1</x:v>
      </x:c>
      <x:c r="E94" s="44" t="str">
        <x:v>VERIFY LABEL</x:v>
      </x:c>
      <x:c r="F94" s="44" t="str">
        <x:v>HAVE</x:v>
      </x:c>
      <x:c r="G94" s="44" t="str">
        <x:v>Ginger EO neat</x:v>
      </x:c>
      <x:c r="H94" s="44" t="str"/>
      <x:c r="I94" s="44" t="str">
        <x:v>Ginger EO</x:v>
      </x:c>
      <x:c r="J94" s="44" t="str"/>
      <x:c r="K94" s="44" t="str">
        <x:v>Confirm bottle identity, strength, and solvent before use.</x:v>
      </x:c>
      <x:c r="L94" s="44" t="str">
        <x:v>Fresh Ginger Oil entry maps to the user's Ginger EO.</x:v>
      </x:c>
      <x:c r="M94" s="44" t="str">
        <x:v>PR-L02, PR-L05, PR-N02, PR-N04, PR-N12, Y01</x:v>
      </x:c>
    </x:row>
    <x:row r="95" ht="45" customHeight="1">
      <x:c r="A95" s="44" t="n">
        <x:v>90</x:v>
      </x:c>
      <x:c r="B95" s="44" t="str">
        <x:v>Galaxolide 50%</x:v>
      </x:c>
      <x:c r="C95" s="44" t="str">
        <x:v>50% in DEP</x:v>
      </x:c>
      <x:c r="D95" s="46" t="n">
        <x:v>0.5</x:v>
      </x:c>
      <x:c r="E95" s="44" t="str">
        <x:v>PREPARED STOCK</x:v>
      </x:c>
      <x:c r="F95" s="44" t="str">
        <x:v>HAVE</x:v>
      </x:c>
      <x:c r="G95" s="44" t="str">
        <x:v>50% in DEP</x:v>
      </x:c>
      <x:c r="H95" s="44" t="str"/>
      <x:c r="I95" s="44" t="str">
        <x:v>Galaxolide 50%</x:v>
      </x:c>
      <x:c r="J95" s="44" t="str"/>
      <x:c r="K95" s="44" t="str">
        <x:v>Use only at the listed supplied-stock strength.</x:v>
      </x:c>
      <x:c r="L95" s="44" t="str">
        <x:v>Unchanged from prior register.</x:v>
      </x:c>
      <x:c r="M95"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PR-E03, PR-E04, PR-E09, PR-L02, PR-L05, PR-N01, PR-N03, PR-N08, S01, S02, S03, S04, S05, S06, S07, S08, Y01, Y02, Y03, Y04, Y05, Y06, Y07, Y08, Y09, Y10, Y11, Y12, Y13, Y14</x:v>
      </x:c>
    </x:row>
    <x:row r="96" ht="45" customHeight="1">
      <x:c r="A96" s="44" t="n">
        <x:v>91</x:v>
      </x:c>
      <x:c r="B96" s="44" t="str">
        <x:v>Galbanum Resinoid 10%</x:v>
      </x:c>
      <x:c r="C96" s="44" t="str">
        <x:v>10% target-required working dilution</x:v>
      </x:c>
      <x:c r="D96" s="46" t="n">
        <x:v>0.1</x:v>
      </x:c>
      <x:c r="E96" s="44" t="str">
        <x:v>TARGET REQUIRED / INVENTORY GAP</x:v>
      </x:c>
      <x:c r="F96" s="44" t="str">
        <x:v>GAP — RESINOID</x:v>
      </x:c>
      <x:c r="G96" s="44" t="str">
        <x:v>Galbanum EO neat is available as a separate material</x:v>
      </x:c>
      <x:c r="H96" s="44" t="str"/>
      <x:c r="I96" s="44" t="str">
        <x:v>Galbanum Resinoid 10%</x:v>
      </x:c>
      <x:c r="J96" s="44" t="str">
        <x:v>Galbanum EO is not Galbanum Resinoid.</x:v>
      </x:c>
      <x:c r="K96" s="44" t="str">
        <x:v>Keep resinoid as a gap; add Galbanum EO separately.</x:v>
      </x:c>
      <x:c r="L96" s="44" t="str">
        <x:v>User has Galbanum EO neat.</x:v>
      </x:c>
      <x:c r="M96" s="44" t="str">
        <x:v>AM-L05</x:v>
      </x:c>
    </x:row>
    <x:row r="97" ht="45" customHeight="1">
      <x:c r="A97" s="44" t="n">
        <x:v>92</x:v>
      </x:c>
      <x:c r="B97" s="44" t="str">
        <x:v>Gamma Undecalactone</x:v>
      </x:c>
      <x:c r="C97" s="44" t="str">
        <x:v>neat / as supplied</x:v>
      </x:c>
      <x:c r="D97" s="46" t="n">
        <x:v>1</x:v>
      </x:c>
      <x:c r="E97" s="44" t="str">
        <x:v>DIRECT</x:v>
      </x:c>
      <x:c r="F97" s="44" t="str">
        <x:v>HAVE</x:v>
      </x:c>
      <x:c r="G97" s="44" t="str">
        <x:v>neat / as supplied</x:v>
      </x:c>
      <x:c r="H97" s="44" t="str"/>
      <x:c r="I97" s="44" t="str">
        <x:v>Gamma Undecalactone</x:v>
      </x:c>
      <x:c r="J97" s="44" t="str"/>
      <x:c r="K97" s="44" t="str">
        <x:v>Use only at the listed supplied-stock strength.</x:v>
      </x:c>
      <x:c r="L97" s="44" t="str">
        <x:v>Unchanged from prior register.</x:v>
      </x:c>
      <x:c r="M97" s="44" t="str">
        <x:v>AM-E01, AM-E02, AM-E05, AM-E06, AM-E12, AM-E13, AM-L02, AM-L04, AM-L08, AM-N03, AM-N06, AM-N09, AM-N10, AM-N13, PR-N14</x:v>
      </x:c>
    </x:row>
    <x:row r="98" ht="45" customHeight="1">
      <x:c r="A98" s="44" t="n">
        <x:v>93</x:v>
      </x:c>
      <x:c r="B98" s="44" t="str">
        <x:v>Geosmin 0.1%</x:v>
      </x:c>
      <x:c r="C98" s="44" t="str">
        <x:v>0.1% in TEC</x:v>
      </x:c>
      <x:c r="D98" s="46" t="n">
        <x:v>0.001</x:v>
      </x:c>
      <x:c r="E98" s="44" t="str">
        <x:v>TRACE PREMIX</x:v>
      </x:c>
      <x:c r="F98" s="44" t="str">
        <x:v>HAVE</x:v>
      </x:c>
      <x:c r="G98" s="44" t="str">
        <x:v>0.1% in TEC</x:v>
      </x:c>
      <x:c r="H98" s="44" t="str"/>
      <x:c r="I98" s="44" t="str">
        <x:v>Geosmin 0.1%</x:v>
      </x:c>
      <x:c r="J98" s="44" t="str"/>
      <x:c r="K98" s="44" t="str">
        <x:v>Use only at the listed supplied-stock strength.</x:v>
      </x:c>
      <x:c r="L98" s="44" t="str">
        <x:v>Unchanged from prior register.</x:v>
      </x:c>
      <x:c r="M98" s="44" t="str">
        <x:v>C07, PR-E03, PR-N03</x:v>
      </x:c>
    </x:row>
    <x:row r="99" ht="45" customHeight="1">
      <x:c r="A99" s="44" t="n">
        <x:v>94</x:v>
      </x:c>
      <x:c r="B99" s="44" t="str">
        <x:v>Geosmin 1%</x:v>
      </x:c>
      <x:c r="C99" s="44" t="str">
        <x:v>1% in TEC</x:v>
      </x:c>
      <x:c r="D99" s="46" t="n">
        <x:v>0.01</x:v>
      </x:c>
      <x:c r="E99" s="44" t="str">
        <x:v>TRACE PREMIX</x:v>
      </x:c>
      <x:c r="F99" s="44" t="str">
        <x:v>HAVE</x:v>
      </x:c>
      <x:c r="G99" s="44" t="str">
        <x:v>1% in TEC</x:v>
      </x:c>
      <x:c r="H99" s="44" t="str"/>
      <x:c r="I99" s="44" t="str">
        <x:v>Geosmin 1%</x:v>
      </x:c>
      <x:c r="J99" s="44" t="str"/>
      <x:c r="K99" s="44" t="str">
        <x:v>Use only at the listed supplied-stock strength.</x:v>
      </x:c>
      <x:c r="L99" s="44" t="str">
        <x:v>Unchanged from prior register.</x:v>
      </x:c>
      <x:c r="M99" s="44" t="str">
        <x:v>AM-E01, AM-E02, AM-E03, AM-E04, AM-E05, AM-E06, AM-E07, AM-E08, AM-E09, AM-E10, AM-E12, AM-E13, AM-E14, AM-E15, AM-E16, AM-L01, AM-L02, AM-L04, AM-L05, AM-L06, AM-L07, AM-L09, AM-N01, AM-N02, AM-N03, AM-N04, AM-N05, AM-N06, AM-N07, AM-N08, AM-N09, AM-N10, AM-N11, AM-N12, AM-N13, AM-N14, AM-N15, AM-N16</x:v>
      </x:c>
    </x:row>
    <x:row r="100" ht="45" customHeight="1">
      <x:c r="A100" s="44" t="n">
        <x:v>95</x:v>
      </x:c>
      <x:c r="B100" s="44" t="str">
        <x:v>Geraniol 10%</x:v>
      </x:c>
      <x:c r="C100" s="44" t="str">
        <x:v>10% working stock</x:v>
      </x:c>
      <x:c r="D100" s="46" t="n">
        <x:v>0.1</x:v>
      </x:c>
      <x:c r="E100" s="44" t="str">
        <x:v>PREPARED STOCK</x:v>
      </x:c>
      <x:c r="F100" s="44" t="str">
        <x:v>HAVE</x:v>
      </x:c>
      <x:c r="G100" s="44" t="str">
        <x:v>10% working stock</x:v>
      </x:c>
      <x:c r="H100" s="44" t="str"/>
      <x:c r="I100" s="44" t="str">
        <x:v>Geraniol 10%</x:v>
      </x:c>
      <x:c r="J100" s="44" t="str"/>
      <x:c r="K100" s="44" t="str">
        <x:v>Use only at the listed supplied-stock strength.</x:v>
      </x:c>
      <x:c r="L100" s="44" t="str">
        <x:v>Unchanged from prior register.</x:v>
      </x:c>
      <x:c r="M100" s="44" t="str">
        <x:v>AM-E01, AM-E04, AM-E05, AM-E09, AM-E11, AM-E14, AM-E15, AM-L01, AM-L04, AM-L08, AM-N04, AM-N05, AM-N06, AM-N15, C01, C02, H06, H13, H14, H15, PR-E01, PR-E03, PR-E09, PR-L04, PR-N06, S01, S02, S03, Y06, Y14</x:v>
      </x:c>
    </x:row>
    <x:row r="101" ht="45" customHeight="1">
      <x:c r="A101" s="44" t="n">
        <x:v>96</x:v>
      </x:c>
      <x:c r="B101" s="44" t="str">
        <x:v>Geranium EO</x:v>
      </x:c>
      <x:c r="C101" s="44" t="str">
        <x:v>neat / as supplied</x:v>
      </x:c>
      <x:c r="D101" s="46" t="n">
        <x:v>1</x:v>
      </x:c>
      <x:c r="E101" s="44" t="str">
        <x:v>DIRECT</x:v>
      </x:c>
      <x:c r="F101" s="44" t="str">
        <x:v>HAVE</x:v>
      </x:c>
      <x:c r="G101" s="44" t="str">
        <x:v>neat / as supplied</x:v>
      </x:c>
      <x:c r="H101" s="44" t="str"/>
      <x:c r="I101" s="44" t="str">
        <x:v>Geranium EO</x:v>
      </x:c>
      <x:c r="J101" s="44" t="str"/>
      <x:c r="K101" s="44" t="str">
        <x:v>Use only at the listed supplied-stock strength.</x:v>
      </x:c>
      <x:c r="L101" s="44" t="str">
        <x:v>Unchanged from prior register.</x:v>
      </x:c>
      <x:c r="M101" s="44" t="str">
        <x:v>AM-L01, AM-N15, C07, PR-E01, PR-E02, PR-E03, PR-E04, PR-E06, PR-E07, PR-E08, PR-E09, PR-L01, PR-L04, PR-N01, PR-N02, PR-N06, S01, S03, Y01, Y06, Y08, Y14</x:v>
      </x:c>
    </x:row>
    <x:row r="102" ht="45" customHeight="1">
      <x:c r="A102" s="44" t="n">
        <x:v>97</x:v>
      </x:c>
      <x:c r="B102" s="44" t="str">
        <x:v>Ginger EO / CO2</x:v>
      </x:c>
      <x:c r="C102" s="44" t="str">
        <x:v>target-required authentic material</x:v>
      </x:c>
      <x:c r="D102" s="46" t="n">
        <x:v>1</x:v>
      </x:c>
      <x:c r="E102" s="44" t="str">
        <x:v>TARGET REQUIRED / INVENTORY GAP</x:v>
      </x:c>
      <x:c r="F102" s="44" t="str">
        <x:v>HAVE — EO ONLY</x:v>
      </x:c>
      <x:c r="G102" s="44" t="str">
        <x:v>Ginger EO neat; no CO2 extract</x:v>
      </x:c>
      <x:c r="H102" s="44" t="str"/>
      <x:c r="I102" s="44" t="str">
        <x:v>Ginger EO</x:v>
      </x:c>
      <x:c r="J102" s="44" t="str"/>
      <x:c r="K102" s="44" t="str">
        <x:v>Do not claim Ginger CO2.</x:v>
      </x:c>
      <x:c r="L102" s="44" t="str">
        <x:v>User has Ginger EO.</x:v>
      </x:c>
      <x:c r="M102" s="44" t="str">
        <x:v>AM-E12, H11, H12, Y06</x:v>
      </x:c>
    </x:row>
    <x:row r="103" ht="45" customHeight="1">
      <x:c r="A103" s="44" t="n">
        <x:v>98</x:v>
      </x:c>
      <x:c r="B103" s="44" t="str">
        <x:v>Globanone 50%</x:v>
      </x:c>
      <x:c r="C103" s="44" t="str">
        <x:v>50% in DPG</x:v>
      </x:c>
      <x:c r="D103" s="46" t="n">
        <x:v>0.5</x:v>
      </x:c>
      <x:c r="E103" s="44" t="str">
        <x:v>PREPARED STOCK</x:v>
      </x:c>
      <x:c r="F103" s="44" t="str">
        <x:v>GAP</x:v>
      </x:c>
      <x:c r="G103" s="44" t="str"/>
      <x:c r="H103" s="44" t="str"/>
      <x:c r="I103" s="44" t="str">
        <x:v>Globanone 50%</x:v>
      </x:c>
      <x:c r="J103" s="44" t="str"/>
      <x:c r="K103" s="44" t="str">
        <x:v>Use only at the listed supplied-stock strength.</x:v>
      </x:c>
      <x:c r="L103" s="44" t="str">
        <x:v>No Globanone.</x:v>
      </x:c>
      <x:c r="M103" s="44" t="str">
        <x:v>AM-E01, AM-E02, AM-E03, AM-E04, AM-E05, AM-E06, AM-E07, AM-E08, AM-E09, AM-E10, AM-E11, AM-E12, AM-E13, AM-E14, AM-E15, AM-E16, AM-L01, AM-L02, AM-L03, AM-L04, AM-L05, AM-L06, AM-L07, AM-L08, AM-L09, AM-N01, AM-N02, AM-N03, AM-N04, AM-N05, AM-N06, AM-N07, AM-N08, AM-N09, AM-N10, AM-N11, AM-N12, AM-N13, AM-N14, AM-N15, AM-N16, C07, C08, PR-E06, PR-E07, PR-E09, PR-N06, Y01, Y08</x:v>
      </x:c>
    </x:row>
    <x:row r="104" ht="45" customHeight="1">
      <x:c r="A104" s="44" t="n">
        <x:v>99</x:v>
      </x:c>
      <x:c r="B104" s="44" t="str">
        <x:v>Grapefruit FCF Oil</x:v>
      </x:c>
      <x:c r="C104" s="44" t="str">
        <x:v>neat / verify label</x:v>
      </x:c>
      <x:c r="D104" s="46" t="n">
        <x:v>1</x:v>
      </x:c>
      <x:c r="E104" s="44" t="str">
        <x:v>DIRECT · VERIFY LABEL</x:v>
      </x:c>
      <x:c r="F104" s="44" t="str">
        <x:v>DUPLICATE / MERGE</x:v>
      </x:c>
      <x:c r="G104" s="44" t="str">
        <x:v>Same as Grapefruit FCF Oil Sicilian, item 100</x:v>
      </x:c>
      <x:c r="H104" s="44" t="str"/>
      <x:c r="I104" s="44" t="str">
        <x:v>Grapefruit FCF Oil Sicilian</x:v>
      </x:c>
      <x:c r="J104" s="44" t="str">
        <x:v>Merge with item 100.</x:v>
      </x:c>
      <x:c r="K104" s="44" t="str">
        <x:v>Confirm bottle identity, strength, and solvent before use.</x:v>
      </x:c>
      <x:c r="L104" s="44" t="str">
        <x:v>Items 99 and 100 are the same stock.</x:v>
      </x:c>
      <x:c r="M104" s="44" t="str">
        <x:v>C01, C02, C03, C04, C06, C07, C08, H08, H10, H11, H12, H13, H14, H15, O05, O06, PR-E06, S03, S06, S08, Y01, Y05, Y08</x:v>
      </x:c>
    </x:row>
    <x:row r="105" ht="45" customHeight="1">
      <x:c r="A105" s="44" t="n">
        <x:v>100</x:v>
      </x:c>
      <x:c r="B105" s="44" t="str">
        <x:v>Grapefruit FCF Oil Sicilian</x:v>
      </x:c>
      <x:c r="C105" s="44" t="str">
        <x:v>neat / as supplied</x:v>
      </x:c>
      <x:c r="D105" s="46" t="n">
        <x:v>1</x:v>
      </x:c>
      <x:c r="E105" s="44" t="str">
        <x:v>DIRECT</x:v>
      </x:c>
      <x:c r="F105" s="44" t="str">
        <x:v>HAVE</x:v>
      </x:c>
      <x:c r="G105" s="44" t="str">
        <x:v>neat / as supplied</x:v>
      </x:c>
      <x:c r="H105" s="44" t="str"/>
      <x:c r="I105" s="44" t="str">
        <x:v>Grapefruit FCF Oil Sicilian</x:v>
      </x:c>
      <x:c r="J105" s="44" t="str"/>
      <x:c r="K105" s="44" t="str">
        <x:v>Use only at the listed supplied-stock strength.</x:v>
      </x:c>
      <x:c r="L105" s="44" t="str">
        <x:v>Unchanged from prior register.</x:v>
      </x:c>
      <x:c r="M105" s="44" t="str">
        <x:v>AM-E01, AM-E02, AM-E03, AM-E04, AM-E05, AM-E06, AM-E07, AM-E08, AM-E09, AM-E10, AM-E12, AM-E13, AM-E14, AM-E15, AM-E16, AM-L01, AM-L02, AM-L03, AM-L04, AM-L06, AM-L07, AM-L08, AM-L09, AM-N02, AM-N03, AM-N04, AM-N05, AM-N06, AM-N07, AM-N09, AM-N10, AM-N11, AM-N12, AM-N13, AM-N14, AM-N15, AM-N16, H09, PR-E05, PR-E06, PR-N03, PR-N10, PR-N11, PR-N12, PR-N13, PR-N14</x:v>
      </x:c>
    </x:row>
    <x:row r="106" ht="45" customHeight="1">
      <x:c r="A106" s="44" t="n">
        <x:v>101</x:v>
      </x:c>
      <x:c r="B106" s="44" t="str">
        <x:v>Guaiacol 10%</x:v>
      </x:c>
      <x:c r="C106" s="44" t="str">
        <x:v>10% working stock</x:v>
      </x:c>
      <x:c r="D106" s="46" t="n">
        <x:v>0.1</x:v>
      </x:c>
      <x:c r="E106" s="44" t="str">
        <x:v>PREPARED STOCK</x:v>
      </x:c>
      <x:c r="F106" s="44" t="str">
        <x:v>HAVE — NEAT + 10%</x:v>
      </x:c>
      <x:c r="G106" s="44" t="str">
        <x:v>Guaiacol neat and 10% working dilution</x:v>
      </x:c>
      <x:c r="H106" s="44" t="str"/>
      <x:c r="I106" s="44" t="str">
        <x:v>Guaiacol 10%</x:v>
      </x:c>
      <x:c r="J106" s="44" t="str"/>
      <x:c r="K106" s="44" t="str">
        <x:v>Formula must specify exact strength.</x:v>
      </x:c>
      <x:c r="L106" s="44" t="str">
        <x:v>Both neat and 10% are available.</x:v>
      </x:c>
      <x:c r="M106" s="44" t="str">
        <x:v>AM-E01, AM-E02, AM-E03, AM-E04, AM-E05, AM-E06, AM-E07, AM-E08, AM-E09, AM-E11, AM-E13, AM-E14, AM-E15, AM-E16, AM-L02, AM-L03, AM-L04, AM-L05, AM-L06, AM-L07, AM-L08, AM-L09, AM-N01, AM-N02, AM-N03, AM-N05, AM-N07, AM-N08, AM-N09, AM-N11, AM-N12, AM-N13, AM-N15, C07, C08, H01, H04, H05, H07, H08, O04, PR-E02, PR-E04, PR-E07, PR-E08, PR-E09, PR-L01, PR-N05, PR-N06, PR-N07, PR-N09, PR-N13, PR-N14, S08</x:v>
      </x:c>
    </x:row>
    <x:row r="107" ht="45" customHeight="1">
      <x:c r="A107" s="44" t="n">
        <x:v>102</x:v>
      </x:c>
      <x:c r="B107" s="44" t="str">
        <x:v>Guaiacwood EO</x:v>
      </x:c>
      <x:c r="C107" s="44" t="str">
        <x:v>target-required authentic material</x:v>
      </x:c>
      <x:c r="D107" s="46" t="n">
        <x:v>1</x:v>
      </x:c>
      <x:c r="E107" s="44" t="str">
        <x:v>TARGET REQUIRED / INVENTORY GAP</x:v>
      </x:c>
      <x:c r="F107" s="44" t="str">
        <x:v>GAP</x:v>
      </x:c>
      <x:c r="G107" s="44" t="str"/>
      <x:c r="H107" s="44" t="str"/>
      <x:c r="I107" s="44" t="str">
        <x:v>Guaiacwood EO</x:v>
      </x:c>
      <x:c r="J107" s="44" t="str"/>
      <x:c r="K107" s="44" t="str">
        <x:v>Do not substitute silently; target-required material is not in stock.</x:v>
      </x:c>
      <x:c r="L107" s="44" t="str">
        <x:v>Unchanged from prior register.</x:v>
      </x:c>
      <x:c r="M107" s="44" t="str">
        <x:v>AM-E01, AM-E03, AM-E04, AM-E05, AM-E06, AM-E07, AM-E13, AM-L09, AM-N01, AM-N07, AM-N08, AM-N09, AM-N15, PR-E09, PR-N06</x:v>
      </x:c>
    </x:row>
    <x:row r="108" ht="45" customHeight="1">
      <x:c r="A108" s="44" t="n">
        <x:v>103</x:v>
      </x:c>
      <x:c r="B108" s="44" t="str">
        <x:v>Habanolide</x:v>
      </x:c>
      <x:c r="C108" s="44" t="str">
        <x:v>neat / verify label</x:v>
      </x:c>
      <x:c r="D108" s="46" t="n">
        <x:v>1</x:v>
      </x:c>
      <x:c r="E108" s="44" t="str">
        <x:v>DIRECT · VERIFY LABEL</x:v>
      </x:c>
      <x:c r="F108" s="44" t="str">
        <x:v>HAVE — NEAT</x:v>
      </x:c>
      <x:c r="G108" s="44" t="str">
        <x:v>Habanolide neat/as supplied; CAS 111879-80-2</x:v>
      </x:c>
      <x:c r="H108" s="44" t="str"/>
      <x:c r="I108" s="44" t="str">
        <x:v>Habanolide</x:v>
      </x:c>
      <x:c r="J108" s="44" t="str">
        <x:v>PerfumersWorld neat product.</x:v>
      </x:c>
      <x:c r="K108" s="44" t="str">
        <x:v>Use as neat stock.</x:v>
      </x:c>
      <x:c r="L108" s="44" t="str">
        <x:v>Identity resolved.</x:v>
      </x:c>
      <x:c r="M108"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PR-E03, PR-E04, PR-E05, PR-E06, PR-E07, PR-E08, PR-E09, PR-L01, PR-L02, PR-L03, PR-L04, PR-L05, PR-N01, PR-N02, PR-N03, PR-N04, PR-N06, PR-N07, PR-N08, PR-N09, PR-N10, PR-N11, PR-N12, PR-N13, PR-N14, S01, S02, S03, S04, S05, S06, S07, S08, Y01, Y02, Y03, Y04, Y05, Y06, Y07, Y08, Y09, Y10, Y11, Y12, Y13, Y14</x:v>
      </x:c>
    </x:row>
    <x:row r="109" ht="45" customHeight="1">
      <x:c r="A109" s="44" t="n">
        <x:v>104</x:v>
      </x:c>
      <x:c r="B109" s="44" t="str">
        <x:v>Hay Absolute 10%</x:v>
      </x:c>
      <x:c r="C109" s="44" t="str">
        <x:v>10% target-required working dilution</x:v>
      </x:c>
      <x:c r="D109" s="46" t="n">
        <x:v>0.1</x:v>
      </x:c>
      <x:c r="E109" s="44" t="str">
        <x:v>TARGET REQUIRED / INVENTORY GAP</x:v>
      </x:c>
      <x:c r="F109" s="44" t="str">
        <x:v>HAVE — 10% CONFIRMED</x:v>
      </x:c>
      <x:c r="G109" s="44" t="str">
        <x:v>Hay Absolute 10% in DPG</x:v>
      </x:c>
      <x:c r="H109" s="44" t="str"/>
      <x:c r="I109" s="44" t="str">
        <x:v>Hay Absolute 10%</x:v>
      </x:c>
      <x:c r="J109" s="44" t="str"/>
      <x:c r="K109" s="44" t="str">
        <x:v>Neat/raw strength remains unconfirmed; use the 10% DPG stock unless label says otherwise.</x:v>
      </x:c>
      <x:c r="L109" s="44" t="str">
        <x:v>Newly acquired; 10% DPG stock confirmed in additions.</x:v>
      </x:c>
      <x:c r="M109" s="44" t="str">
        <x:v>C01</x:v>
      </x:c>
    </x:row>
    <x:row r="110" ht="45" customHeight="1">
      <x:c r="A110" s="44" t="n">
        <x:v>105</x:v>
      </x:c>
      <x:c r="B110" s="44" t="str">
        <x:v>Hazelnut Accord 10%</x:v>
      </x:c>
      <x:c r="C110" s="44" t="str">
        <x:v>10% target-required accord</x:v>
      </x:c>
      <x:c r="D110" s="46" t="n">
        <x:v>0.1</x:v>
      </x:c>
      <x:c r="E110" s="44" t="str">
        <x:v>TARGET REQUIRED / INVENTORY GAP</x:v>
      </x:c>
      <x:c r="F110" s="44" t="str">
        <x:v>GAP / POSSIBLE RAW MATERIAL</x:v>
      </x:c>
      <x:c r="G110" s="44" t="str"/>
      <x:c r="H110" s="44" t="str"/>
      <x:c r="I110" s="44" t="str">
        <x:v>Hazelnut Accord 10%</x:v>
      </x:c>
      <x:c r="J110" s="44" t="str">
        <x:v>2-Acetyl Pyrazine is owned neat, but is not a Hazelnut Accord.</x:v>
      </x:c>
      <x:c r="K110" s="44" t="str">
        <x:v>Keep Hazelnut Accord as a gap; use 2-AP only as a separately justified trace.</x:v>
      </x:c>
      <x:c r="L110" s="44" t="str">
        <x:v>2-AP ownership confirmed.</x:v>
      </x:c>
      <x:c r="M110" s="44" t="str">
        <x:v>AM-N13</x:v>
      </x:c>
    </x:row>
    <x:row r="111" ht="45" customHeight="1">
      <x:c r="A111" s="44" t="n">
        <x:v>106</x:v>
      </x:c>
      <x:c r="B111" s="44" t="str">
        <x:v>Hedione</x:v>
      </x:c>
      <x:c r="C111" s="44" t="str">
        <x:v>neat / as supplied</x:v>
      </x:c>
      <x:c r="D111" s="46" t="n">
        <x:v>1</x:v>
      </x:c>
      <x:c r="E111" s="44" t="str">
        <x:v>DIRECT</x:v>
      </x:c>
      <x:c r="F111" s="44" t="str">
        <x:v>HAVE</x:v>
      </x:c>
      <x:c r="G111" s="44" t="str">
        <x:v>neat / as supplied</x:v>
      </x:c>
      <x:c r="H111" s="44" t="str"/>
      <x:c r="I111" s="44" t="str">
        <x:v>Hedione</x:v>
      </x:c>
      <x:c r="J111" s="44" t="str"/>
      <x:c r="K111" s="44" t="str">
        <x:v>Use only at the listed supplied-stock strength.</x:v>
      </x:c>
      <x:c r="L111" s="44" t="str">
        <x:v>Unchanged from prior register.</x:v>
      </x:c>
      <x:c r="M111" s="44" t="str">
        <x:v>AM-E01, AM-E02, AM-E03, AM-E04, AM-E05, AM-E06, AM-E07, AM-E08, AM-E09, AM-E10, AM-E11, AM-E12, AM-E13, AM-E14, AM-E15, AM-L01, AM-L02, AM-L03, AM-L04, AM-L05, AM-L06, AM-L07, AM-L08, AM-L09, AM-N01, AM-N02, AM-N03, AM-N04, AM-N05, AM-N06, AM-N07, AM-N08, AM-N09, AM-N11, AM-N12, AM-N13, AM-N15, AM-N16, C01, C02, C03, C05, C06, C07, C08, H01, H02, H03, H04, H05, H06, H07, H08, H09, H10, H11, H12, H13, H14, H15, O01, O02, O03, O05, O06, PR-E01, PR-E02, PR-E03, PR-E04, PR-E06, PR-E07, PR-E08, PR-E09, PR-L01, PR-L02, PR-L03, PR-L04, PR-L05, PR-N01, PR-N03, PR-N04, PR-N06, PR-N10, PR-N11, PR-N14, S01, S02, S03, S04, S05, S07, Y01, Y02, Y03, Y04, Y05, Y06, Y07, Y08, Y09, Y11, Y12, Y13, Y14</x:v>
      </x:c>
    </x:row>
    <x:row r="112" ht="45" customHeight="1">
      <x:c r="A112" s="44" t="n">
        <x:v>107</x:v>
      </x:c>
      <x:c r="B112" s="44" t="str">
        <x:v>Helional 10%</x:v>
      </x:c>
      <x:c r="C112" s="44" t="str">
        <x:v>10% working stock</x:v>
      </x:c>
      <x:c r="D112" s="46" t="n">
        <x:v>0.1</x:v>
      </x:c>
      <x:c r="E112" s="44" t="str">
        <x:v>PREPARED STOCK</x:v>
      </x:c>
      <x:c r="F112" s="44" t="str">
        <x:v>HAVE — NEAT + 10%</x:v>
      </x:c>
      <x:c r="G112" s="44" t="str">
        <x:v>Helional neat and 10% working dilution</x:v>
      </x:c>
      <x:c r="H112" s="44" t="str"/>
      <x:c r="I112" s="44" t="str">
        <x:v>Helional 10%</x:v>
      </x:c>
      <x:c r="J112" s="44" t="str"/>
      <x:c r="K112" s="44" t="str">
        <x:v>Formula must specify exact strength.</x:v>
      </x:c>
      <x:c r="L112" s="44" t="str">
        <x:v>Both neat and 10% are available.</x:v>
      </x:c>
      <x:c r="M112" s="44" t="str">
        <x:v>AM-E03, AM-E04, AM-E08, AM-E09, AM-N06, C03, C04, C05, C06, C07, O03, PR-E06, PR-E07, PR-L02, PR-L05, PR-N01, PR-N03, PR-N04, PR-N08, S02, S07, Y05, Y07, Y08, Y12, Y13, Y14</x:v>
      </x:c>
    </x:row>
    <x:row r="113" ht="45" customHeight="1">
      <x:c r="A113" s="44" t="n">
        <x:v>108</x:v>
      </x:c>
      <x:c r="B113" s="44" t="str">
        <x:v>Heliotropal 10%</x:v>
      </x:c>
      <x:c r="C113" s="44" t="str">
        <x:v>10% in DPG</x:v>
      </x:c>
      <x:c r="D113" s="46" t="n">
        <x:v>0.1</x:v>
      </x:c>
      <x:c r="E113" s="44" t="str">
        <x:v>PREPARED STOCK</x:v>
      </x:c>
      <x:c r="F113" s="44" t="str">
        <x:v>HAVE — NEAT ONLY</x:v>
      </x:c>
      <x:c r="G113" s="44" t="str">
        <x:v>Heliotropal neat</x:v>
      </x:c>
      <x:c r="H113" s="44" t="str">
        <x:v>Prepare 10% if required.</x:v>
      </x:c>
      <x:c r="I113" s="44" t="str">
        <x:v>Heliotropal 10%</x:v>
      </x:c>
      <x:c r="J113" s="44" t="str"/>
      <x:c r="K113" s="44" t="str">
        <x:v>Use only at the listed supplied-stock strength.</x:v>
      </x:c>
      <x:c r="L113" s="44" t="str">
        <x:v>Only neat stock is available.</x:v>
      </x:c>
      <x:c r="M113" s="44" t="str">
        <x:v>H01, H02, H04, H05, H06, H07, H08, O01, O02, O04, PR-L04, PR-N02, Y01, Y09, Y11</x:v>
      </x:c>
    </x:row>
    <x:row r="114" ht="45" customHeight="1">
      <x:c r="A114" s="44" t="n">
        <x:v>109</x:v>
      </x:c>
      <x:c r="B114" s="44" t="str">
        <x:v>Hexyl Acetate 10%</x:v>
      </x:c>
      <x:c r="C114" s="44" t="str">
        <x:v>10% working stock</x:v>
      </x:c>
      <x:c r="D114" s="46" t="n">
        <x:v>0.1</x:v>
      </x:c>
      <x:c r="E114" s="44" t="str">
        <x:v>PREPARED STOCK</x:v>
      </x:c>
      <x:c r="F114" s="44" t="str">
        <x:v>HAVE — NEAT + 10%</x:v>
      </x:c>
      <x:c r="G114" s="44" t="str">
        <x:v>Hexyl Acetate neat and 10% working dilution</x:v>
      </x:c>
      <x:c r="H114" s="44" t="str"/>
      <x:c r="I114" s="44" t="str">
        <x:v>Hexyl Acetate 10%</x:v>
      </x:c>
      <x:c r="J114" s="44" t="str"/>
      <x:c r="K114" s="44" t="str">
        <x:v>Formula must specify exact strength.</x:v>
      </x:c>
      <x:c r="L114" s="44" t="str">
        <x:v>Both neat and 10% are available.</x:v>
      </x:c>
      <x:c r="M114" s="44" t="str">
        <x:v>AM-E02, AM-E05, AM-E06, AM-L04, AM-N09, H05, H13, H15, Y02, Y10, Y13</x:v>
      </x:c>
    </x:row>
    <x:row r="115" ht="45" customHeight="1">
      <x:c r="A115" s="44" t="n">
        <x:v>110</x:v>
      </x:c>
      <x:c r="B115" s="44" t="str">
        <x:v>Honey Accord 10%</x:v>
      </x:c>
      <x:c r="C115" s="44" t="str">
        <x:v>10% target-required accord</x:v>
      </x:c>
      <x:c r="D115" s="46" t="n">
        <x:v>0.1</x:v>
      </x:c>
      <x:c r="E115" s="44" t="str">
        <x:v>TARGET REQUIRED / INVENTORY GAP</x:v>
      </x:c>
      <x:c r="F115" s="44" t="str">
        <x:v>GAP</x:v>
      </x:c>
      <x:c r="G115" s="44" t="str"/>
      <x:c r="H115" s="44" t="str"/>
      <x:c r="I115" s="44" t="str">
        <x:v>Honey Accord 10%</x:v>
      </x:c>
      <x:c r="J115" s="44" t="str"/>
      <x:c r="K115" s="44" t="str">
        <x:v>Do not substitute silently; target-required material is not in stock.</x:v>
      </x:c>
      <x:c r="L115" s="44" t="str">
        <x:v>Unchanged from prior register.</x:v>
      </x:c>
      <x:c r="M115" s="44" t="str">
        <x:v>AM-E05, O06</x:v>
      </x:c>
    </x:row>
    <x:row r="116" ht="45" customHeight="1">
      <x:c r="A116" s="44" t="n">
        <x:v>111</x:v>
      </x:c>
      <x:c r="B116" s="44" t="str">
        <x:v>Hydroxycitronellal</x:v>
      </x:c>
      <x:c r="C116" s="44" t="str">
        <x:v>neat / as supplied</x:v>
      </x:c>
      <x:c r="D116" s="46" t="n">
        <x:v>1</x:v>
      </x:c>
      <x:c r="E116" s="44" t="str">
        <x:v>DIRECT</x:v>
      </x:c>
      <x:c r="F116" s="44" t="str">
        <x:v>HAVE</x:v>
      </x:c>
      <x:c r="G116" s="44" t="str">
        <x:v>neat / as supplied</x:v>
      </x:c>
      <x:c r="H116" s="44" t="str"/>
      <x:c r="I116" s="44" t="str">
        <x:v>Hydroxycitronellal</x:v>
      </x:c>
      <x:c r="J116" s="44" t="str"/>
      <x:c r="K116" s="44" t="str">
        <x:v>Use only at the listed supplied-stock strength.</x:v>
      </x:c>
      <x:c r="L116" s="44" t="str">
        <x:v>Unchanged from prior register.</x:v>
      </x:c>
      <x:c r="M116" s="44" t="str">
        <x:v>AM-E01, AM-E02, AM-E03, AM-E04, AM-E05, AM-E06, AM-E07, AM-E08, AM-E09, AM-E10, AM-E11, AM-E12, AM-E13, AM-E14, AM-E15, AM-L01, AM-L02, AM-L03, AM-L04, AM-L05, AM-L06, AM-L07, AM-L08, AM-L09, AM-N01, AM-N02, AM-N03, AM-N04, AM-N05, AM-N06, AM-N07, AM-N08, AM-N09, AM-N10, AM-N11, AM-N12, AM-N13, AM-N14, AM-N15, AM-N16, C02, C03, C04, C05, C06, C07, C08, H01, H02, H03, H04, H05, H06, H07, H08, H09, H10, H11, H12, O01, O02, O03, O05, O06, PR-E01, PR-E02, PR-E03, PR-E04, PR-E06, PR-E07, PR-E08, PR-L01, PR-L02, PR-L03, PR-L05, PR-N01, PR-N02, PR-N04, S07, Y01, Y03, Y04, Y05, Y06, Y08</x:v>
      </x:c>
    </x:row>
    <x:row r="117" ht="45" customHeight="1">
      <x:c r="A117" s="44" t="n">
        <x:v>112</x:v>
      </x:c>
      <x:c r="B117" s="44" t="str">
        <x:v>Immortelle Absolute 10%</x:v>
      </x:c>
      <x:c r="C117" s="44" t="str">
        <x:v>10% working stock</x:v>
      </x:c>
      <x:c r="D117" s="46" t="n">
        <x:v>0.1</x:v>
      </x:c>
      <x:c r="E117" s="44" t="str">
        <x:v>PREPARED STOCK</x:v>
      </x:c>
      <x:c r="F117" s="44" t="str">
        <x:v>HAVE</x:v>
      </x:c>
      <x:c r="G117" s="44" t="str">
        <x:v>10% working stock</x:v>
      </x:c>
      <x:c r="H117" s="44" t="str"/>
      <x:c r="I117" s="44" t="str">
        <x:v>Immortelle Absolute 10%</x:v>
      </x:c>
      <x:c r="J117" s="44" t="str"/>
      <x:c r="K117" s="44" t="str">
        <x:v>Use only at the listed supplied-stock strength.</x:v>
      </x:c>
      <x:c r="L117" s="44" t="str">
        <x:v>Unchanged from prior register.</x:v>
      </x:c>
      <x:c r="M117" s="44" t="str">
        <x:v>AM-E02, AM-E03, AM-E04, AM-E05, AM-E07, AM-E08, AM-E15, AM-L02, AM-L06, AM-N05, AM-N08, AM-N11, H01, H04, H05, H07, H08, O06, PR-E02, PR-E04, S06, S08</x:v>
      </x:c>
    </x:row>
    <x:row r="118" ht="45" customHeight="1">
      <x:c r="A118" s="44" t="n">
        <x:v>113</x:v>
      </x:c>
      <x:c r="B118" s="44" t="str">
        <x:v>Indole 10%</x:v>
      </x:c>
      <x:c r="C118" s="44" t="str">
        <x:v>10% working stock</x:v>
      </x:c>
      <x:c r="D118" s="46" t="n">
        <x:v>0.1</x:v>
      </x:c>
      <x:c r="E118" s="44" t="str">
        <x:v>TRACE PREMIX</x:v>
      </x:c>
      <x:c r="F118" s="44" t="str">
        <x:v>HAVE</x:v>
      </x:c>
      <x:c r="G118" s="44" t="str">
        <x:v>10% working stock</x:v>
      </x:c>
      <x:c r="H118" s="44" t="str"/>
      <x:c r="I118" s="44" t="str">
        <x:v>Indole 10%</x:v>
      </x:c>
      <x:c r="J118" s="44" t="str"/>
      <x:c r="K118" s="44" t="str">
        <x:v>Use only at the listed supplied-stock strength.</x:v>
      </x:c>
      <x:c r="L118" s="44" t="str">
        <x:v>Unchanged from prior register.</x:v>
      </x:c>
      <x:c r="M118" s="44" t="str">
        <x:v>AM-E01, AM-E09, AM-E10, AM-L08, AM-N06, AM-N12, C01, C03, C06, C07, H01, H02, H03, H04, H05, H06, H07, H10, H12, O03, O04, S04, S05, S06, S07, Y01, Y02, Y05, Y06, Y07, Y08, Y09, Y10, Y11, Y12, Y13, Y14</x:v>
      </x:c>
    </x:row>
    <x:row r="119" ht="45" customHeight="1">
      <x:c r="A119" s="44" t="n">
        <x:v>114</x:v>
      </x:c>
      <x:c r="B119" s="44" t="str">
        <x:v>Iris FTEC</x:v>
      </x:c>
      <x:c r="C119" s="44" t="str">
        <x:v>as supplied; product basis</x:v>
      </x:c>
      <x:c r="D119" s="46"/>
      <x:c r="E119" s="44" t="str">
        <x:v>PRODUCT BASIS</x:v>
      </x:c>
      <x:c r="F119" s="44" t="str">
        <x:v>BANNED / DELETE</x:v>
      </x:c>
      <x:c r="G119" s="44" t="str"/>
      <x:c r="H119" s="44" t="str"/>
      <x:c r="I119" s="44" t="str">
        <x:v>DO NOT USE — Iris FTEC</x:v>
      </x:c>
      <x:c r="J119" s="44" t="str"/>
      <x:c r="K119" s="44" t="str">
        <x:v>Delete from all formulas. User rejects FTEC and Fleuressence materials because composition is undisclosed.</x:v>
      </x:c>
      <x:c r="L119" s="44" t="str">
        <x:v>Permanent ban on FTEC/Fleuressence materials.</x:v>
      </x:c>
      <x:c r="M119" s="44" t="str">
        <x:v>PR-L04, PR-L05, PR-N04, Y11</x:v>
      </x:c>
    </x:row>
    <x:row r="120" ht="45" customHeight="1">
      <x:c r="A120" s="44" t="n">
        <x:v>115</x:v>
      </x:c>
      <x:c r="B120" s="44" t="str">
        <x:v>Irotyl</x:v>
      </x:c>
      <x:c r="C120" s="44" t="str">
        <x:v>as supplied; product basis</x:v>
      </x:c>
      <x:c r="D120" s="46"/>
      <x:c r="E120" s="44" t="str">
        <x:v>PRODUCT BASIS</x:v>
      </x:c>
      <x:c r="F120" s="44" t="str">
        <x:v>HAVE — NEAT</x:v>
      </x:c>
      <x:c r="G120" s="44" t="str">
        <x:v>Irotyl neat</x:v>
      </x:c>
      <x:c r="H120" s="44" t="str"/>
      <x:c r="I120" s="44" t="str">
        <x:v>Irotyl</x:v>
      </x:c>
      <x:c r="J120" s="44" t="str"/>
      <x:c r="K120" s="44" t="str">
        <x:v>Use only at the listed supplied-stock strength.</x:v>
      </x:c>
      <x:c r="L120" s="44" t="str">
        <x:v>User confirms neat Irotyl.</x:v>
      </x:c>
      <x:c r="M120" s="44" t="str">
        <x:v>H01, H02, H04, H05, H06, H07, H08, O01, O02, O04, PR-E02</x:v>
      </x:c>
    </x:row>
    <x:row r="121" ht="45" customHeight="1">
      <x:c r="A121" s="44" t="n">
        <x:v>116</x:v>
      </x:c>
      <x:c r="B121" s="44" t="str">
        <x:v>Iso E Super</x:v>
      </x:c>
      <x:c r="C121" s="44" t="str">
        <x:v>neat / as supplied</x:v>
      </x:c>
      <x:c r="D121" s="46" t="n">
        <x:v>1</x:v>
      </x:c>
      <x:c r="E121" s="44" t="str">
        <x:v>DIRECT</x:v>
      </x:c>
      <x:c r="F121" s="44" t="str">
        <x:v>HAVE</x:v>
      </x:c>
      <x:c r="G121" s="44" t="str">
        <x:v>neat / as supplied</x:v>
      </x:c>
      <x:c r="H121" s="44" t="str"/>
      <x:c r="I121" s="44" t="str">
        <x:v>Iso E Super</x:v>
      </x:c>
      <x:c r="J121" s="44" t="str"/>
      <x:c r="K121" s="44" t="str">
        <x:v>Use only at the listed supplied-stock strength.</x:v>
      </x:c>
      <x:c r="L121" s="44" t="str">
        <x:v>Unchanged from prior register.</x:v>
      </x:c>
      <x:c r="M121"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PR-E03, PR-E04, PR-E05, PR-E06, PR-E07, PR-E08, PR-E09, PR-L01, PR-L02, PR-L03, PR-L04, PR-L05, PR-N01, PR-N02, PR-N03, PR-N04, PR-N05, PR-N06, PR-N07, PR-N08, PR-N09, PR-N10, PR-N12, PR-N13, S01, S02, S03, S04, S05, S06, S07, S08, Y01, Y02, Y03, Y04, Y05, Y06, Y07, Y08, Y09, Y10, Y11, Y12, Y13, Y14</x:v>
      </x:c>
    </x:row>
    <x:row r="122" ht="45" customHeight="1">
      <x:c r="A122" s="44" t="n">
        <x:v>117</x:v>
      </x:c>
      <x:c r="B122" s="44" t="str">
        <x:v>Isoeugenol 10%</x:v>
      </x:c>
      <x:c r="C122" s="44" t="str">
        <x:v>10% working dilution</x:v>
      </x:c>
      <x:c r="D122" s="46" t="n">
        <x:v>0.1</x:v>
      </x:c>
      <x:c r="E122" s="44" t="str">
        <x:v>PREPARED STOCK</x:v>
      </x:c>
      <x:c r="F122" s="44" t="str">
        <x:v>HAVE — NEAT / PREPARE</x:v>
      </x:c>
      <x:c r="G122" s="44" t="str">
        <x:v>Isoeugenol neat</x:v>
      </x:c>
      <x:c r="H122" s="44" t="str">
        <x:v>Prepare 10% in DPG only when needed.</x:v>
      </x:c>
      <x:c r="I122" s="44" t="str">
        <x:v>Isoeugenol 10%</x:v>
      </x:c>
      <x:c r="J122" s="44" t="str"/>
      <x:c r="K122" s="44" t="str">
        <x:v>Use only at the listed supplied-stock strength.</x:v>
      </x:c>
      <x:c r="L122" s="44" t="str">
        <x:v>No need to keep a standing 10% stock.</x:v>
      </x:c>
      <x:c r="M122" s="44" t="str">
        <x:v>AM-E02, AM-E03, AM-E04, AM-E07, AM-E11, AM-E12, AM-E13, AM-L01, AM-L06, AM-L08, AM-N03, AM-N07, AM-N10, AM-N13, AM-N14, AM-N15, AM-N16, PR-N08, PR-N09, PR-N10, PR-N11, PR-N13</x:v>
      </x:c>
    </x:row>
    <x:row r="123" ht="45" customHeight="1">
      <x:c r="A123" s="44" t="n">
        <x:v>118</x:v>
      </x:c>
      <x:c r="B123" s="44" t="str">
        <x:v>Ivy Green Accord 10%</x:v>
      </x:c>
      <x:c r="C123" s="44" t="str">
        <x:v>10% target-required accord</x:v>
      </x:c>
      <x:c r="D123" s="46" t="n">
        <x:v>0.1</x:v>
      </x:c>
      <x:c r="E123" s="44" t="str">
        <x:v>TARGET REQUIRED / INVENTORY GAP</x:v>
      </x:c>
      <x:c r="F123" s="44" t="str">
        <x:v>GAP</x:v>
      </x:c>
      <x:c r="G123" s="44" t="str"/>
      <x:c r="H123" s="44" t="str"/>
      <x:c r="I123" s="44" t="str">
        <x:v>Ivy Green Accord 10%</x:v>
      </x:c>
      <x:c r="J123" s="44" t="str"/>
      <x:c r="K123" s="44" t="str">
        <x:v>Do not substitute silently; target-required material is not in stock.</x:v>
      </x:c>
      <x:c r="L123" s="44" t="str">
        <x:v>Unchanged from prior register.</x:v>
      </x:c>
      <x:c r="M123" s="44" t="str">
        <x:v>AM-L05</x:v>
      </x:c>
    </x:row>
    <x:row r="124" ht="45" customHeight="1">
      <x:c r="A124" s="44" t="n">
        <x:v>119</x:v>
      </x:c>
      <x:c r="B124" s="44" t="str">
        <x:v>Jasmine Absolute 10%</x:v>
      </x:c>
      <x:c r="C124" s="44" t="str">
        <x:v>10% working stock</x:v>
      </x:c>
      <x:c r="D124" s="46" t="n">
        <x:v>0.1</x:v>
      </x:c>
      <x:c r="E124" s="44" t="str">
        <x:v>TRACE PREMIX</x:v>
      </x:c>
      <x:c r="F124" s="44" t="str">
        <x:v>HAVE</x:v>
      </x:c>
      <x:c r="G124" s="44" t="str">
        <x:v>10% working stock</x:v>
      </x:c>
      <x:c r="H124" s="44" t="str"/>
      <x:c r="I124" s="44" t="str">
        <x:v>Jasmine Absolute 10%</x:v>
      </x:c>
      <x:c r="J124" s="44" t="str"/>
      <x:c r="K124" s="44" t="str">
        <x:v>Use only at the listed supplied-stock strength.</x:v>
      </x:c>
      <x:c r="L124" s="44" t="str">
        <x:v>Unchanged from prior register.</x:v>
      </x:c>
      <x:c r="M124" s="44" t="str">
        <x:v>C01, C02, C03, C06, H01, H02, H03, H04, H05, H06, H07, H10, H11, H12, O01, O02, O03, O04, O05, S07, Y02, Y03, Y04, Y05, Y06, Y07, Y09, Y10, Y11, Y12, Y13, Y14</x:v>
      </x:c>
    </x:row>
    <x:row r="125" ht="45" customHeight="1">
      <x:c r="A125" s="44" t="n">
        <x:v>120</x:v>
      </x:c>
      <x:c r="B125" s="44" t="str">
        <x:v>Jasmine Absolute 10% TR</x:v>
      </x:c>
      <x:c r="C125" s="44" t="str">
        <x:v>10% target-required working dilution</x:v>
      </x:c>
      <x:c r="D125" s="46" t="n">
        <x:v>0.1</x:v>
      </x:c>
      <x:c r="E125" s="44" t="str">
        <x:v>TARGET REQUIRED / INVENTORY GAP</x:v>
      </x:c>
      <x:c r="F125" s="44" t="str">
        <x:v>DUPLICATE / DELETE</x:v>
      </x:c>
      <x:c r="G125" s="44" t="str">
        <x:v>Same as Jasmine Absolute 10% in DPG</x:v>
      </x:c>
      <x:c r="H125" s="44" t="str"/>
      <x:c r="I125" s="44" t="str">
        <x:v>Jasmine Absolute 10% in DPG</x:v>
      </x:c>
      <x:c r="J125" s="44" t="str">
        <x:v>Merge with item 119.</x:v>
      </x:c>
      <x:c r="K125" s="44" t="str">
        <x:v>Delete target-required duplicate suffix 'TR'.</x:v>
      </x:c>
      <x:c r="L125" s="44" t="str">
        <x:v>User questioned this duplicate.</x:v>
      </x:c>
      <x:c r="M125" s="44" t="str">
        <x:v>AM-E05, AM-N05</x:v>
      </x:c>
    </x:row>
    <x:row r="126" ht="45" customHeight="1">
      <x:c r="A126" s="44" t="n">
        <x:v>121</x:v>
      </x:c>
      <x:c r="B126" s="44" t="str">
        <x:v>Jasmine Sambac Absolute 10%</x:v>
      </x:c>
      <x:c r="C126" s="44" t="str">
        <x:v>10% working stock</x:v>
      </x:c>
      <x:c r="D126" s="46" t="n">
        <x:v>0.1</x:v>
      </x:c>
      <x:c r="E126" s="44" t="str">
        <x:v>TRACE PREMIX</x:v>
      </x:c>
      <x:c r="F126" s="44" t="str">
        <x:v>HAVE</x:v>
      </x:c>
      <x:c r="G126" s="44" t="str">
        <x:v>10% working stock</x:v>
      </x:c>
      <x:c r="H126" s="44" t="str"/>
      <x:c r="I126" s="44" t="str">
        <x:v>Jasmine Sambac Absolute 10%</x:v>
      </x:c>
      <x:c r="J126" s="44" t="str"/>
      <x:c r="K126" s="44" t="str">
        <x:v>Use only at the listed supplied-stock strength.</x:v>
      </x:c>
      <x:c r="L126" s="44" t="str">
        <x:v>Unchanged from prior register.</x:v>
      </x:c>
      <x:c r="M126" s="44" t="str">
        <x:v>C01, C02, C03, C06, C07, H01, H02, H03, H04, H05, H06, H07, H10, H11, H12, O01, O02, O03, O04, O05, O06, S07, Y01, Y02, Y03, Y04, Y06, Y07, Y08, Y09, Y10, Y11, Y12, Y13, Y14</x:v>
      </x:c>
    </x:row>
    <x:row r="127" ht="45" customHeight="1">
      <x:c r="A127" s="44" t="n">
        <x:v>122</x:v>
      </x:c>
      <x:c r="B127" s="44" t="str">
        <x:v>Jasmonyl</x:v>
      </x:c>
      <x:c r="C127" s="44" t="str">
        <x:v>as supplied</x:v>
      </x:c>
      <x:c r="D127" s="46" t="n">
        <x:v>1</x:v>
      </x:c>
      <x:c r="E127" s="44" t="str">
        <x:v>DIRECT</x:v>
      </x:c>
      <x:c r="F127" s="44" t="str">
        <x:v>GAP — DISTINCT MATERIAL</x:v>
      </x:c>
      <x:c r="G127" s="44" t="str"/>
      <x:c r="H127" s="44" t="str"/>
      <x:c r="I127" s="44" t="str">
        <x:v>Jasmonyl</x:v>
      </x:c>
      <x:c r="J127" s="44" t="str">
        <x:v>Jasmonyl is a distinct lactonic jasmine/mushroom material; Jessemal, cis-Jasmone, dihydrojasmone and ACA are not the same.</x:v>
      </x:c>
      <x:c r="K127" s="44" t="str">
        <x:v>Do not substitute by name similarity. Require exact Jasmonyl/Jasmonyl LG label or a separately designed accord.</x:v>
      </x:c>
      <x:c r="L127" s="44" t="str">
        <x:v>User does not report owning Jasmonyl and asked what it is.</x:v>
      </x:c>
      <x:c r="M127" s="44" t="str">
        <x:v>AM-E01, AM-E02, AM-E03, AM-E04, AM-E05, AM-E06, AM-E07, AM-E08, AM-E09, AM-E10, AM-E13, AM-E14, AM-E15, AM-L01, AM-L02, AM-L03, AM-L04, AM-L06, AM-L08, AM-L09, AM-N01, AM-N02, AM-N04, AM-N05, AM-N06, AM-N07, AM-N08, AM-N09, AM-N11, AM-N12, AM-N13, AM-N15, AM-N16, C07, PR-E01, PR-L03, PR-L05, PR-N04</x:v>
      </x:c>
    </x:row>
    <x:row r="128" ht="45" customHeight="1">
      <x:c r="A128" s="44" t="n">
        <x:v>123</x:v>
      </x:c>
      <x:c r="B128" s="44" t="str">
        <x:v>Javanol</x:v>
      </x:c>
      <x:c r="C128" s="44" t="str">
        <x:v>neat / as supplied</x:v>
      </x:c>
      <x:c r="D128" s="46" t="n">
        <x:v>1</x:v>
      </x:c>
      <x:c r="E128" s="44" t="str">
        <x:v>DIRECT</x:v>
      </x:c>
      <x:c r="F128" s="44" t="str">
        <x:v>HAVE</x:v>
      </x:c>
      <x:c r="G128" s="44" t="str">
        <x:v>neat / as supplied</x:v>
      </x:c>
      <x:c r="H128" s="44" t="str"/>
      <x:c r="I128" s="44" t="str">
        <x:v>Javanol</x:v>
      </x:c>
      <x:c r="J128" s="44" t="str"/>
      <x:c r="K128" s="44" t="str">
        <x:v>Use only at the listed supplied-stock strength.</x:v>
      </x:c>
      <x:c r="L128" s="44" t="str">
        <x:v>Unchanged from prior register.</x:v>
      </x:c>
      <x:c r="M128" s="44" t="str">
        <x:v>AM-E01, AM-E02, AM-E03, AM-E04, AM-E06, AM-E07, AM-E08, AM-E09, AM-E10, AM-E11, AM-E12, AM-E13, AM-E14, AM-E15, AM-E16, AM-L01, AM-L02, AM-L03, AM-L04, AM-L05, AM-L06, AM-L07, AM-L08, AM-L09, AM-N01, AM-N02, AM-N03, AM-N04, AM-N05, AM-N06, AM-N07, AM-N08, AM-N09, AM-N10, AM-N11, AM-N12, AM-N13, AM-N14, AM-N15, AM-N16, C01, C05, C07, C08, H06, H13, PR-E02, PR-L05, PR-N04, PR-N12, PR-N14, S05, S06</x:v>
      </x:c>
    </x:row>
    <x:row r="129" ht="45" customHeight="1">
      <x:c r="A129" s="44" t="n">
        <x:v>124</x:v>
      </x:c>
      <x:c r="B129" s="44" t="str">
        <x:v>Jessemal</x:v>
      </x:c>
      <x:c r="C129" s="44" t="str">
        <x:v>as supplied</x:v>
      </x:c>
      <x:c r="D129" s="46" t="n">
        <x:v>1</x:v>
      </x:c>
      <x:c r="E129" s="44" t="str">
        <x:v>DIRECT</x:v>
      </x:c>
      <x:c r="F129" s="44" t="str">
        <x:v>HAVE</x:v>
      </x:c>
      <x:c r="G129" s="44" t="str">
        <x:v>as supplied</x:v>
      </x:c>
      <x:c r="H129" s="44" t="str"/>
      <x:c r="I129" s="44" t="str">
        <x:v>Jessemal</x:v>
      </x:c>
      <x:c r="J129" s="44" t="str"/>
      <x:c r="K129" s="44" t="str">
        <x:v>Use only at the listed supplied-stock strength.</x:v>
      </x:c>
      <x:c r="L129" s="44" t="str">
        <x:v>Unchanged from prior register.</x:v>
      </x:c>
      <x:c r="M129" s="44" t="str">
        <x:v>AM-E01, AM-E02, AM-E03, AM-E04, AM-E05, AM-E06, AM-E07, AM-E08, AM-E09, AM-E10, AM-E14, AM-E15, AM-L03, AM-L04, AM-L06, AM-L08, AM-N01, AM-N04, AM-N05, AM-N06, AM-N08, AM-N09, AM-N12, AM-N13, AM-N15, AM-N16, C07, C08, PR-E01, PR-N04, Y01, Y08</x:v>
      </x:c>
    </x:row>
    <x:row r="130" ht="45" customHeight="1">
      <x:c r="A130" s="44" t="n">
        <x:v>125</x:v>
      </x:c>
      <x:c r="B130" s="44" t="str">
        <x:v>Juniper Berry EO</x:v>
      </x:c>
      <x:c r="C130" s="44" t="str">
        <x:v>target-required authentic material</x:v>
      </x:c>
      <x:c r="D130" s="46" t="n">
        <x:v>1</x:v>
      </x:c>
      <x:c r="E130" s="44" t="str">
        <x:v>TARGET REQUIRED / INVENTORY GAP</x:v>
      </x:c>
      <x:c r="F130" s="44" t="str">
        <x:v>HAVE</x:v>
      </x:c>
      <x:c r="G130" s="44" t="str">
        <x:v>Juniper Berry EO neat</x:v>
      </x:c>
      <x:c r="H130" s="44" t="str"/>
      <x:c r="I130" s="44" t="str">
        <x:v>Juniper Berry EO</x:v>
      </x:c>
      <x:c r="J130" s="44" t="str"/>
      <x:c r="K130" s="44" t="str">
        <x:v>Do not substitute silently; target-required material is not in stock.</x:v>
      </x:c>
      <x:c r="L130" s="44" t="str">
        <x:v>User confirms Juniper Berry EO.</x:v>
      </x:c>
      <x:c r="M130" s="44" t="str">
        <x:v>AM-N03, AM-N10, AM-N14, PR-N01, PR-N02</x:v>
      </x:c>
    </x:row>
    <x:row r="131" ht="45" customHeight="1">
      <x:c r="A131" s="44" t="n">
        <x:v>126</x:v>
      </x:c>
      <x:c r="B131" s="44" t="str">
        <x:v>Kephalis</x:v>
      </x:c>
      <x:c r="C131" s="44" t="str">
        <x:v>neat / as supplied</x:v>
      </x:c>
      <x:c r="D131" s="46" t="n">
        <x:v>1</x:v>
      </x:c>
      <x:c r="E131" s="44" t="str">
        <x:v>DIRECT</x:v>
      </x:c>
      <x:c r="F131" s="44" t="str">
        <x:v>HAVE</x:v>
      </x:c>
      <x:c r="G131" s="44" t="str">
        <x:v>neat / as supplied</x:v>
      </x:c>
      <x:c r="H131" s="44" t="str"/>
      <x:c r="I131" s="44" t="str">
        <x:v>Kephalis</x:v>
      </x:c>
      <x:c r="J131" s="44" t="str"/>
      <x:c r="K131" s="44" t="str">
        <x:v>Use only at the listed supplied-stock strength.</x:v>
      </x:c>
      <x:c r="L131" s="44" t="str">
        <x:v>Unchanged from prior register.</x:v>
      </x:c>
      <x:c r="M131" s="44" t="str">
        <x:v>AM-E01, AM-E02, AM-E03, AM-E04, AM-E05, AM-E06, AM-E07, AM-E08, AM-E09, AM-E10, AM-E11, AM-E12, AM-E13, AM-E14, AM-E15, AM-E16, AM-L01, AM-L02, AM-L03, AM-L04, AM-L05, AM-L06, AM-L07, AM-L08, AM-L09, AM-N01, AM-N02, AM-N03, AM-N04, AM-N05, AM-N06, AM-N07, AM-N08, AM-N09, AM-N10, AM-N11, AM-N12, AM-N13, AM-N14, AM-N15, AM-N16, C07, C08, PR-E02, PR-E04, PR-E07, PR-E08, PR-L01, PR-N01, PR-N05, PR-N06, PR-N07, PR-N09, PR-N14, Y03, Y10</x:v>
      </x:c>
    </x:row>
    <x:row r="132" ht="45" customHeight="1">
      <x:c r="A132" s="44" t="n">
        <x:v>127</x:v>
      </x:c>
      <x:c r="B132" s="44" t="str">
        <x:v>Koavone</x:v>
      </x:c>
      <x:c r="C132" s="44" t="str">
        <x:v>neat</x:v>
      </x:c>
      <x:c r="D132" s="46" t="n">
        <x:v>1</x:v>
      </x:c>
      <x:c r="E132" s="44" t="str">
        <x:v>DIRECT</x:v>
      </x:c>
      <x:c r="F132" s="44" t="str">
        <x:v>HAVE</x:v>
      </x:c>
      <x:c r="G132" s="44" t="str">
        <x:v>neat</x:v>
      </x:c>
      <x:c r="H132" s="44" t="str"/>
      <x:c r="I132" s="44" t="str">
        <x:v>Koavone</x:v>
      </x:c>
      <x:c r="J132" s="44" t="str"/>
      <x:c r="K132" s="44" t="str">
        <x:v>Use only at the listed supplied-stock strength.</x:v>
      </x:c>
      <x:c r="L132" s="44" t="str">
        <x:v>Unchanged from prior register.</x:v>
      </x:c>
      <x:c r="M132" s="44" t="str">
        <x:v>PR-L04, PR-L05, PR-N04, Y01, Y11</x:v>
      </x:c>
    </x:row>
    <x:row r="133" ht="45" customHeight="1">
      <x:c r="A133" s="44" t="n">
        <x:v>128</x:v>
      </x:c>
      <x:c r="B133" s="44" t="str">
        <x:v>Labdanum 10%</x:v>
      </x:c>
      <x:c r="C133" s="44" t="str">
        <x:v>10% working stock</x:v>
      </x:c>
      <x:c r="D133" s="46" t="n">
        <x:v>0.1</x:v>
      </x:c>
      <x:c r="E133" s="44" t="str">
        <x:v>PREPARED STOCK</x:v>
      </x:c>
      <x:c r="F133" s="44" t="str">
        <x:v>HAVE</x:v>
      </x:c>
      <x:c r="G133" s="44" t="str">
        <x:v>10% working stock</x:v>
      </x:c>
      <x:c r="H133" s="44" t="str"/>
      <x:c r="I133" s="44" t="str">
        <x:v>Labdanum 10%</x:v>
      </x:c>
      <x:c r="J133" s="44" t="str"/>
      <x:c r="K133" s="44" t="str">
        <x:v>Use only at the listed supplied-stock strength.</x:v>
      </x:c>
      <x:c r="L133" s="44" t="str">
        <x:v>Unchanged from prior register.</x:v>
      </x:c>
      <x:c r="M133" s="44" t="str">
        <x:v>AM-E01, AM-E02, AM-E03, AM-E04, AM-E05, AM-E06, AM-E07, AM-E08, AM-E10, AM-E11, AM-E12, AM-E13, AM-E14, AM-E15, AM-E16, AM-L02, AM-L03, AM-L04, AM-L05, AM-L06, AM-L07, AM-L08, AM-L09, AM-N01, AM-N02, AM-N03, AM-N04, AM-N05, AM-N07, AM-N08, AM-N09, AM-N10, AM-N11, AM-N12, AM-N13, AM-N15, AM-N16, C01, C07, C08, H01, H04, H05, H06, H07, H08, O02, O04, O05, PR-E01, PR-E02, PR-E04, PR-E05, PR-E07, PR-E08, PR-E09, PR-L01, PR-L04, PR-N05, PR-N06, PR-N07, PR-N09, PR-N13, S04, S05, S06, S08, Y03, Y04, Y07, Y08, Y09, Y10, Y11</x:v>
      </x:c>
    </x:row>
    <x:row r="134" ht="45" customHeight="1">
      <x:c r="A134" s="44" t="n">
        <x:v>129</x:v>
      </x:c>
      <x:c r="B134" s="44" t="str">
        <x:v>Lavender EO High Altitude</x:v>
      </x:c>
      <x:c r="C134" s="44" t="str">
        <x:v>neat / as supplied</x:v>
      </x:c>
      <x:c r="D134" s="46" t="n">
        <x:v>1</x:v>
      </x:c>
      <x:c r="E134" s="44" t="str">
        <x:v>DIRECT</x:v>
      </x:c>
      <x:c r="F134" s="44" t="str">
        <x:v>HAVE</x:v>
      </x:c>
      <x:c r="G134" s="44" t="str">
        <x:v>neat / as supplied</x:v>
      </x:c>
      <x:c r="H134" s="44" t="str"/>
      <x:c r="I134" s="44" t="str">
        <x:v>Lavender EO High Altitude</x:v>
      </x:c>
      <x:c r="J134" s="44" t="str"/>
      <x:c r="K134" s="44" t="str">
        <x:v>Use only at the listed supplied-stock strength.</x:v>
      </x:c>
      <x:c r="L134" s="44" t="str">
        <x:v>Unchanged from prior register.</x:v>
      </x:c>
      <x:c r="M134" s="44" t="str">
        <x:v>AM-E01, AM-E02, AM-E03, AM-E04, AM-E05, AM-E06, AM-E07, AM-E08, AM-E09, AM-E10, AM-E11, AM-E12, AM-E13, AM-E14, AM-E15, AM-E16, AM-L01, AM-L02, AM-L03, AM-L04, AM-L05, AM-L06, AM-L07, AM-L08, AM-L09, AM-N01, AM-N02, AM-N03, AM-N04, AM-N05, AM-N06, AM-N07, AM-N08, AM-N09, AM-N10, AM-N11, AM-N12, AM-N13, AM-N14, AM-N15, AM-N16, C02, C05, C07, C08, H01, H04, H08, H11, O03, PR-E03, PR-E04, PR-E06, PR-E07, PR-E08, PR-L01, PR-L02, PR-N01, PR-N02, PR-N05, S03, S06, S07, S08, Y08, Y09, Y10, Y11, Y12, Y13, Y14</x:v>
      </x:c>
    </x:row>
    <x:row r="135" ht="45" customHeight="1">
      <x:c r="A135" s="44" t="n">
        <x:v>130</x:v>
      </x:c>
      <x:c r="B135" s="44" t="str">
        <x:v>Leafovert</x:v>
      </x:c>
      <x:c r="C135" s="44" t="str">
        <x:v>as supplied; verify label</x:v>
      </x:c>
      <x:c r="D135" s="46" t="n">
        <x:v>1</x:v>
      </x:c>
      <x:c r="E135" s="44" t="str">
        <x:v>VERIFY LABEL</x:v>
      </x:c>
      <x:c r="F135" s="44" t="str">
        <x:v>VERIFY</x:v>
      </x:c>
      <x:c r="G135" s="44" t="str">
        <x:v>as supplied; verify label</x:v>
      </x:c>
      <x:c r="H135" s="44" t="str"/>
      <x:c r="I135" s="44" t="str">
        <x:v>Leafovert</x:v>
      </x:c>
      <x:c r="J135" s="44" t="str"/>
      <x:c r="K135" s="44" t="str">
        <x:v>Confirm bottle identity, strength, and solvent before use.</x:v>
      </x:c>
      <x:c r="L135" s="44" t="str">
        <x:v>Unchanged from prior register.</x:v>
      </x:c>
      <x:c r="M135" s="44" t="str">
        <x:v>AM-E01, AM-E02, AM-E03, AM-E04, AM-E05, AM-E06, AM-E07, AM-E08, AM-E09, AM-E10, AM-E11, AM-E12, AM-E13, AM-E14, AM-E15, AM-E16, AM-L01, AM-L02, AM-L03, AM-L04, AM-L05, AM-L06, AM-L07, AM-L08, AM-L09, AM-N01, AM-N02, AM-N03, AM-N04, AM-N05, AM-N06, AM-N07, AM-N08, AM-N09, AM-N10, AM-N11, AM-N12, AM-N13, AM-N14, AM-N15, AM-N16, H12, O06, PR-E01, PR-L05, PR-N04, Y01</x:v>
      </x:c>
    </x:row>
    <x:row r="136" ht="45" customHeight="1">
      <x:c r="A136" s="44" t="n">
        <x:v>131</x:v>
      </x:c>
      <x:c r="B136" s="44" t="str">
        <x:v>Lemon FCF Oil Sicilian</x:v>
      </x:c>
      <x:c r="C136" s="44" t="str">
        <x:v>neat / as supplied</x:v>
      </x:c>
      <x:c r="D136" s="46" t="n">
        <x:v>1</x:v>
      </x:c>
      <x:c r="E136" s="44" t="str">
        <x:v>DIRECT</x:v>
      </x:c>
      <x:c r="F136" s="44" t="str">
        <x:v>HAVE</x:v>
      </x:c>
      <x:c r="G136" s="44" t="str">
        <x:v>neat / as supplied</x:v>
      </x:c>
      <x:c r="H136" s="44" t="str"/>
      <x:c r="I136" s="44" t="str">
        <x:v>Lemon FCF Oil Sicilian</x:v>
      </x:c>
      <x:c r="J136" s="44" t="str"/>
      <x:c r="K136" s="44" t="str">
        <x:v>Use only at the listed supplied-stock strength.</x:v>
      </x:c>
      <x:c r="L136" s="44" t="str">
        <x:v>Unchanged from prior register.</x:v>
      </x:c>
      <x:c r="M136" s="44" t="str">
        <x:v>AM-E01, AM-E02, AM-E03, AM-E04, AM-E05, AM-E06, AM-E07, AM-E08, AM-E09, AM-E10, AM-E12, AM-E13, AM-E14, AM-E15, AM-E16, AM-L01, AM-L02, AM-L03, AM-L04, AM-L06, AM-L07, AM-L08, AM-L09, AM-N01, AM-N02, AM-N03, AM-N04, AM-N05, AM-N06, AM-N07, AM-N09, AM-N10, AM-N11, AM-N12, AM-N13, AM-N14, AM-N15, AM-N16, C01, C02, C03, C04, C06, C07, H11, H12, H13, H14, H15, O05, O06, PR-E07, PR-L02, PR-N03, PR-N07, PR-N10, PR-N11, PR-N12, PR-N13, PR-N14, S03, Y14</x:v>
      </x:c>
    </x:row>
    <x:row r="137" ht="45" customHeight="1">
      <x:c r="A137" s="44" t="n">
        <x:v>132</x:v>
      </x:c>
      <x:c r="B137" s="44" t="str">
        <x:v>Licorice Accord 10%</x:v>
      </x:c>
      <x:c r="C137" s="44" t="str">
        <x:v>10% target-required accord</x:v>
      </x:c>
      <x:c r="D137" s="46" t="n">
        <x:v>0.1</x:v>
      </x:c>
      <x:c r="E137" s="44" t="str">
        <x:v>TARGET REQUIRED / INVENTORY GAP</x:v>
      </x:c>
      <x:c r="F137" s="44" t="str">
        <x:v>GAP — ACCORD</x:v>
      </x:c>
      <x:c r="G137" s="44" t="str">
        <x:v>Anise EO is available as a separate material</x:v>
      </x:c>
      <x:c r="H137" s="44" t="str"/>
      <x:c r="I137" s="44" t="str">
        <x:v>Licorice Accord 10%</x:v>
      </x:c>
      <x:c r="J137" s="44" t="str">
        <x:v>Anise EO can support licorice but is not a finished Licorice Accord.</x:v>
      </x:c>
      <x:c r="K137" s="44" t="str">
        <x:v>Keep Licorice Accord as a gap unless an explicit accord is built.</x:v>
      </x:c>
      <x:c r="L137" s="44" t="str">
        <x:v>User has Anise EO.</x:v>
      </x:c>
      <x:c r="M137" s="44" t="str">
        <x:v>PR-E04</x:v>
      </x:c>
    </x:row>
    <x:row r="138" ht="45" customHeight="1">
      <x:c r="A138" s="44" t="n">
        <x:v>133</x:v>
      </x:c>
      <x:c r="B138" s="44" t="str">
        <x:v>Lilyreal ND</x:v>
      </x:c>
      <x:c r="C138" s="44" t="str">
        <x:v>as supplied; product basis</x:v>
      </x:c>
      <x:c r="D138" s="46"/>
      <x:c r="E138" s="44" t="str">
        <x:v>PRODUCT BASIS</x:v>
      </x:c>
      <x:c r="F138" s="44" t="str">
        <x:v>HAVE</x:v>
      </x:c>
      <x:c r="G138" s="44" t="str">
        <x:v>as supplied; product basis</x:v>
      </x:c>
      <x:c r="H138" s="44" t="str"/>
      <x:c r="I138" s="44" t="str">
        <x:v>Lilyreal ND</x:v>
      </x:c>
      <x:c r="J138" s="44" t="str"/>
      <x:c r="K138" s="44" t="str">
        <x:v>Use only at the listed supplied-stock strength.</x:v>
      </x:c>
      <x:c r="L138" s="44" t="str">
        <x:v>Unchanged from prior register.</x:v>
      </x:c>
      <x:c r="M138" s="44" t="str">
        <x:v>Y12</x:v>
      </x:c>
    </x:row>
    <x:row r="139" ht="45" customHeight="1">
      <x:c r="A139" s="44" t="n">
        <x:v>134</x:v>
      </x:c>
      <x:c r="B139" s="44" t="str">
        <x:v>Lime Distilled EO</x:v>
      </x:c>
      <x:c r="C139" s="44" t="str">
        <x:v>neat / as supplied</x:v>
      </x:c>
      <x:c r="D139" s="46" t="n">
        <x:v>1</x:v>
      </x:c>
      <x:c r="E139" s="44" t="str">
        <x:v>DIRECT</x:v>
      </x:c>
      <x:c r="F139" s="44" t="str">
        <x:v>HAVE</x:v>
      </x:c>
      <x:c r="G139" s="44" t="str">
        <x:v>neat / as supplied</x:v>
      </x:c>
      <x:c r="H139" s="44" t="str"/>
      <x:c r="I139" s="44" t="str">
        <x:v>Lime Distilled EO</x:v>
      </x:c>
      <x:c r="J139" s="44" t="str"/>
      <x:c r="K139" s="44" t="str">
        <x:v>Use only at the listed supplied-stock strength.</x:v>
      </x:c>
      <x:c r="L139" s="44" t="str">
        <x:v>Unchanged from prior register.</x:v>
      </x:c>
      <x:c r="M139" s="44" t="str">
        <x:v>AM-E16, AM-N04, PR-L02, Y05</x:v>
      </x:c>
    </x:row>
    <x:row r="140" ht="45" customHeight="1">
      <x:c r="A140" s="44" t="n">
        <x:v>135</x:v>
      </x:c>
      <x:c r="B140" s="44" t="str">
        <x:v>Linalool</x:v>
      </x:c>
      <x:c r="C140" s="44" t="str">
        <x:v>neat / as supplied</x:v>
      </x:c>
      <x:c r="D140" s="46" t="n">
        <x:v>1</x:v>
      </x:c>
      <x:c r="E140" s="44" t="str">
        <x:v>DIRECT</x:v>
      </x:c>
      <x:c r="F140" s="44" t="str">
        <x:v>HAVE</x:v>
      </x:c>
      <x:c r="G140" s="44" t="str">
        <x:v>neat / as supplied</x:v>
      </x:c>
      <x:c r="H140" s="44" t="str"/>
      <x:c r="I140" s="44" t="str">
        <x:v>Linalool</x:v>
      </x:c>
      <x:c r="J140" s="44" t="str"/>
      <x:c r="K140" s="44" t="str">
        <x:v>Use only at the listed supplied-stock strength.</x:v>
      </x:c>
      <x:c r="L140" s="44" t="str">
        <x:v>Unchanged from prior register.</x:v>
      </x:c>
      <x:c r="M140"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O01, O02, O03, O05, O06, PR-E01, PR-E02, PR-E03, PR-E04, PR-E06, PR-E07, PR-E08, PR-E09, PR-L01, PR-L02, PR-L03, PR-L05, PR-N01, PR-N02, PR-N04, S01, S02, S03, S04, S05, S06, S07, S08, Y01, Y03, Y04, Y05, Y06, Y07, Y08, Y09, Y10, Y11, Y12, Y13, Y14</x:v>
      </x:c>
    </x:row>
    <x:row r="141" ht="45" customHeight="1">
      <x:c r="A141" s="44" t="n">
        <x:v>136</x:v>
      </x:c>
      <x:c r="B141" s="44" t="str">
        <x:v>Linalyl Acetate</x:v>
      </x:c>
      <x:c r="C141" s="44" t="str">
        <x:v>neat / as supplied</x:v>
      </x:c>
      <x:c r="D141" s="46" t="n">
        <x:v>1</x:v>
      </x:c>
      <x:c r="E141" s="44" t="str">
        <x:v>DIRECT</x:v>
      </x:c>
      <x:c r="F141" s="44" t="str">
        <x:v>HAVE</x:v>
      </x:c>
      <x:c r="G141" s="44" t="str">
        <x:v>neat / as supplied</x:v>
      </x:c>
      <x:c r="H141" s="44" t="str"/>
      <x:c r="I141" s="44" t="str">
        <x:v>Linalyl Acetate</x:v>
      </x:c>
      <x:c r="J141" s="44" t="str"/>
      <x:c r="K141" s="44" t="str">
        <x:v>Use only at the listed supplied-stock strength.</x:v>
      </x:c>
      <x:c r="L141" s="44" t="str">
        <x:v>Unchanged from prior register.</x:v>
      </x:c>
      <x:c r="M141"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H09, O03, O05, O06, PR-E01, PR-E03, PR-E04, PR-E06, PR-E07, PR-E08, PR-L01, PR-L02, PR-L03, PR-L05, PR-N01, PR-N02, PR-N04, S01, S02, S03, S04, S05, S06, S07, S08, Y01, Y08, Y09, Y10, Y11, Y12, Y13, Y14</x:v>
      </x:c>
    </x:row>
    <x:row r="142" ht="45" customHeight="1">
      <x:c r="A142" s="44" t="n">
        <x:v>137</x:v>
      </x:c>
      <x:c r="B142" s="44" t="str">
        <x:v>Macrolide</x:v>
      </x:c>
      <x:c r="C142" s="44" t="str">
        <x:v>as supplied</x:v>
      </x:c>
      <x:c r="D142" s="46" t="n">
        <x:v>1</x:v>
      </x:c>
      <x:c r="E142" s="44" t="str">
        <x:v>DIRECT</x:v>
      </x:c>
      <x:c r="F142" s="44" t="str">
        <x:v>HAVE</x:v>
      </x:c>
      <x:c r="G142" s="44" t="str">
        <x:v>as supplied</x:v>
      </x:c>
      <x:c r="H142" s="44" t="str"/>
      <x:c r="I142" s="44" t="str">
        <x:v>Macrolide</x:v>
      </x:c>
      <x:c r="J142" s="44" t="str"/>
      <x:c r="K142" s="44" t="str">
        <x:v>Use only at the listed supplied-stock strength.</x:v>
      </x:c>
      <x:c r="L142" s="44" t="str">
        <x:v>Unchanged from prior register.</x:v>
      </x:c>
      <x:c r="M142" s="44" t="str">
        <x:v>AM-E01, AM-E02, AM-E03, AM-E04, AM-E05, AM-E06, AM-E07, AM-E08, AM-E09, AM-E10, AM-E11, AM-E12, AM-E13, AM-E14, AM-E15, AM-E16, AM-L01, AM-L02, AM-L03, AM-L04, AM-L05, AM-L06, AM-L07, AM-L08, AM-L09, AM-N01, AM-N02, AM-N03, AM-N04, AM-N05, AM-N06, AM-N07, AM-N08, AM-N09, AM-N10, AM-N11, AM-N12, AM-N13, AM-N14, AM-N15, AM-N16, C01, C02, C03, C04, C06, C07, C08, H01, H02, H03, H04, H05, H06, H07, H08, H10, H11, H12, H13, H14, H15, O01, O02, O03, O04, O05, O06, S01, S02, S03, S04, S05, S06, S07, S08, Y01, Y02, Y03, Y04, Y05, Y06, Y07, Y08, Y09, Y10, Y11, Y12, Y13, Y14</x:v>
      </x:c>
    </x:row>
    <x:row r="143" ht="45" customHeight="1">
      <x:c r="A143" s="44" t="n">
        <x:v>138</x:v>
      </x:c>
      <x:c r="B143" s="44" t="str">
        <x:v>Magnolia EO</x:v>
      </x:c>
      <x:c r="C143" s="44" t="str">
        <x:v>neat / as supplied</x:v>
      </x:c>
      <x:c r="D143" s="46" t="n">
        <x:v>1</x:v>
      </x:c>
      <x:c r="E143" s="44" t="str">
        <x:v>TRACE PREMIX</x:v>
      </x:c>
      <x:c r="F143" s="44" t="str">
        <x:v>HAVE</x:v>
      </x:c>
      <x:c r="G143" s="44" t="str">
        <x:v>neat / as supplied</x:v>
      </x:c>
      <x:c r="H143" s="44" t="str"/>
      <x:c r="I143" s="44" t="str">
        <x:v>Magnolia EO</x:v>
      </x:c>
      <x:c r="J143" s="44" t="str"/>
      <x:c r="K143" s="44" t="str">
        <x:v>Use only at the listed supplied-stock strength.</x:v>
      </x:c>
      <x:c r="L143" s="44" t="str">
        <x:v>Unchanged from prior register.</x:v>
      </x:c>
      <x:c r="M143" s="44" t="str">
        <x:v>AM-E01, AM-E02, AM-E03, AM-E04, AM-E05, AM-E06, AM-E07, AM-E08, AM-E09, AM-E10, AM-E11, AM-E12, AM-E13, AM-E14, AM-E15, AM-L01, AM-L02, AM-L03, AM-L04, AM-L05, AM-L06, AM-L07, AM-L08, AM-L09, AM-N01, AM-N02, AM-N03, AM-N04, AM-N05, AM-N06, AM-N07, AM-N08, AM-N09, AM-N11, AM-N12, AM-N13, AM-N14, AM-N15, AM-N16, C01, C02, C03, C04, C06, C07, H01, H02, H03, H04, H05, H06, H07, H09, H10, H11, H12, O01, O02, O03, O04, O05, O06, PR-E01, PR-L03, PR-L05, PR-N04, PR-N14, S07, Y01, Y02, Y03, Y04, Y05, Y06, Y07, Y08, Y09, Y10, Y11, Y12, Y13, Y14</x:v>
      </x:c>
    </x:row>
    <x:row r="144" ht="45" customHeight="1">
      <x:c r="A144" s="44" t="n">
        <x:v>139</x:v>
      </x:c>
      <x:c r="B144" s="44" t="str">
        <x:v>Marjoram EO 10%</x:v>
      </x:c>
      <x:c r="C144" s="44" t="str">
        <x:v>10% target-required working dilution</x:v>
      </x:c>
      <x:c r="D144" s="46" t="n">
        <x:v>0.1</x:v>
      </x:c>
      <x:c r="E144" s="44" t="str">
        <x:v>TARGET REQUIRED / INVENTORY GAP</x:v>
      </x:c>
      <x:c r="F144" s="44" t="str">
        <x:v>GAP</x:v>
      </x:c>
      <x:c r="G144" s="44" t="str"/>
      <x:c r="H144" s="44" t="str"/>
      <x:c r="I144" s="44" t="str">
        <x:v>Marjoram EO 10%</x:v>
      </x:c>
      <x:c r="J144" s="44" t="str"/>
      <x:c r="K144" s="44" t="str">
        <x:v>Do not substitute silently; target-required material is not in stock.</x:v>
      </x:c>
      <x:c r="L144" s="44" t="str">
        <x:v>Marjoram EO remains a gap.</x:v>
      </x:c>
      <x:c r="M144" s="44" t="str">
        <x:v>AM-L09</x:v>
      </x:c>
    </x:row>
    <x:row r="145" ht="45" customHeight="1">
      <x:c r="A145" s="44" t="n">
        <x:v>140</x:v>
      </x:c>
      <x:c r="B145" s="44" t="str">
        <x:v>Mayol</x:v>
      </x:c>
      <x:c r="C145" s="44" t="str">
        <x:v>neat</x:v>
      </x:c>
      <x:c r="D145" s="46" t="n">
        <x:v>1</x:v>
      </x:c>
      <x:c r="E145" s="44" t="str">
        <x:v>DIRECT</x:v>
      </x:c>
      <x:c r="F145" s="44" t="str">
        <x:v>HAVE</x:v>
      </x:c>
      <x:c r="G145" s="44" t="str">
        <x:v>neat</x:v>
      </x:c>
      <x:c r="H145" s="44" t="str"/>
      <x:c r="I145" s="44" t="str">
        <x:v>Mayol</x:v>
      </x:c>
      <x:c r="J145" s="44" t="str"/>
      <x:c r="K145" s="44" t="str">
        <x:v>Use only at the listed supplied-stock strength.</x:v>
      </x:c>
      <x:c r="L145" s="44" t="str">
        <x:v>Unchanged from prior register.</x:v>
      </x:c>
      <x:c r="M145" s="44" t="str">
        <x:v>PR-E01</x:v>
      </x:c>
    </x:row>
    <x:row r="146" ht="45" customHeight="1">
      <x:c r="A146" s="44" t="n">
        <x:v>141</x:v>
      </x:c>
      <x:c r="B146" s="44" t="str">
        <x:v>Metallic Linen Aldehyde Accord 10%</x:v>
      </x:c>
      <x:c r="C146" s="44" t="str">
        <x:v>10% target-required accord</x:v>
      </x:c>
      <x:c r="D146" s="46" t="n">
        <x:v>0.1</x:v>
      </x:c>
      <x:c r="E146" s="44" t="str">
        <x:v>TARGET REQUIRED / INVENTORY GAP</x:v>
      </x:c>
      <x:c r="F146" s="44" t="str">
        <x:v>CUSTOM STOCKS — VERIFY</x:v>
      </x:c>
      <x:c r="G146" s="44" t="str">
        <x:v>Several metallic-linen aldehyde accords</x:v>
      </x:c>
      <x:c r="H146" s="44" t="str"/>
      <x:c r="I146" s="44" t="str">
        <x:v>Metallic Linen Aldehyde Accord 10%</x:v>
      </x:c>
      <x:c r="J146" s="44" t="str"/>
      <x:c r="K146" s="44" t="str">
        <x:v>Each accord needs a name, formula or label. Do not treat them as one standardized 10% stock.</x:v>
      </x:c>
      <x:c r="L146" s="44" t="str">
        <x:v>User has several such accords.</x:v>
      </x:c>
      <x:c r="M146" s="44" t="str">
        <x:v>PR-E01</x:v>
      </x:c>
    </x:row>
    <x:row r="147" ht="45" customHeight="1">
      <x:c r="A147" s="44" t="n">
        <x:v>142</x:v>
      </x:c>
      <x:c r="B147" s="44" t="str">
        <x:v>Methyl Anthranilate</x:v>
      </x:c>
      <x:c r="C147" s="44" t="str">
        <x:v>neat / as supplied</x:v>
      </x:c>
      <x:c r="D147" s="46" t="n">
        <x:v>1</x:v>
      </x:c>
      <x:c r="E147" s="44" t="str">
        <x:v>TRACE PREMIX</x:v>
      </x:c>
      <x:c r="F147" s="44" t="str">
        <x:v>HAVE</x:v>
      </x:c>
      <x:c r="G147" s="44" t="str">
        <x:v>neat / as supplied</x:v>
      </x:c>
      <x:c r="H147" s="44" t="str"/>
      <x:c r="I147" s="44" t="str">
        <x:v>Methyl Anthranilate</x:v>
      </x:c>
      <x:c r="J147" s="44" t="str"/>
      <x:c r="K147" s="44" t="str">
        <x:v>Use only at the listed supplied-stock strength.</x:v>
      </x:c>
      <x:c r="L147" s="44" t="str">
        <x:v>Unchanged from prior register.</x:v>
      </x:c>
      <x:c r="M147" s="44" t="str">
        <x:v>C02, H01, H02, H03, H04, H05, H06, H07, H10, H11, H12, O01, O02, O05, O06, S07, Y03, Y04, Y06</x:v>
      </x:c>
    </x:row>
    <x:row r="148" ht="45" customHeight="1">
      <x:c r="A148" s="44" t="n">
        <x:v>143</x:v>
      </x:c>
      <x:c r="B148" s="44" t="str">
        <x:v>Methyl Anthranilate 10%</x:v>
      </x:c>
      <x:c r="C148" s="44" t="str">
        <x:v>10% working dilution</x:v>
      </x:c>
      <x:c r="D148" s="46" t="n">
        <x:v>0.1</x:v>
      </x:c>
      <x:c r="E148" s="44" t="str">
        <x:v>PREPARED STOCK</x:v>
      </x:c>
      <x:c r="F148" s="44" t="str">
        <x:v>HAVE — NEAT / PREPARE</x:v>
      </x:c>
      <x:c r="G148" s="44" t="str">
        <x:v>Methyl Anthranilate neat</x:v>
      </x:c>
      <x:c r="H148" s="44" t="str">
        <x:v>Prepare 10% only if required.</x:v>
      </x:c>
      <x:c r="I148" s="44" t="str">
        <x:v>Methyl Anthranilate 10%</x:v>
      </x:c>
      <x:c r="J148" s="44" t="str"/>
      <x:c r="K148" s="44" t="str">
        <x:v>Use only at the listed supplied-stock strength.</x:v>
      </x:c>
      <x:c r="L148" s="44" t="str">
        <x:v>Can prepare the dilution.</x:v>
      </x:c>
      <x:c r="M148" s="44" t="str">
        <x:v>AM-E01, AM-E09, AM-E10, AM-L08, AM-N01, AM-N05, AM-N06, AM-N12, AM-N16, H09, PR-N14</x:v>
      </x:c>
    </x:row>
    <x:row r="149" ht="45" customHeight="1">
      <x:c r="A149" s="44" t="n">
        <x:v>144</x:v>
      </x:c>
      <x:c r="B149" s="44" t="str">
        <x:v>Methyl Nonyl Ketone</x:v>
      </x:c>
      <x:c r="C149" s="44" t="str">
        <x:v>neat / as supplied</x:v>
      </x:c>
      <x:c r="D149" s="46" t="n">
        <x:v>1</x:v>
      </x:c>
      <x:c r="E149" s="44" t="str">
        <x:v>TRACE PREMIX</x:v>
      </x:c>
      <x:c r="F149" s="44" t="str">
        <x:v>HAVE</x:v>
      </x:c>
      <x:c r="G149" s="44" t="str">
        <x:v>neat / as supplied</x:v>
      </x:c>
      <x:c r="H149" s="44" t="str"/>
      <x:c r="I149" s="44" t="str">
        <x:v>Methyl Nonyl Ketone</x:v>
      </x:c>
      <x:c r="J149" s="44" t="str"/>
      <x:c r="K149" s="44" t="str">
        <x:v>Use only at the listed supplied-stock strength.</x:v>
      </x:c>
      <x:c r="L149" s="44" t="str">
        <x:v>Unchanged from prior register.</x:v>
      </x:c>
      <x:c r="M149" s="44" t="str">
        <x:v>C04, C07, O04, Y01, Y07, Y10, Y12, Y13, Y14</x:v>
      </x:c>
    </x:row>
    <x:row r="150" ht="45" customHeight="1">
      <x:c r="A150" s="44" t="n">
        <x:v>145</x:v>
      </x:c>
      <x:c r="B150" s="44" t="str">
        <x:v>Methyl Nonyl Ketone 1%</x:v>
      </x:c>
      <x:c r="C150" s="44" t="str">
        <x:v>1% working dilution</x:v>
      </x:c>
      <x:c r="D150" s="46" t="n">
        <x:v>0.01</x:v>
      </x:c>
      <x:c r="E150" s="44" t="str">
        <x:v>TRACE PREMIX</x:v>
      </x:c>
      <x:c r="F150" s="44" t="str">
        <x:v>HAVE — NEAT / PREPARE</x:v>
      </x:c>
      <x:c r="G150" s="44" t="str">
        <x:v>Methyl Nonyl Ketone neat</x:v>
      </x:c>
      <x:c r="H150" s="44" t="str">
        <x:v>Prepare 1% only if required.</x:v>
      </x:c>
      <x:c r="I150" s="44" t="str">
        <x:v>Methyl Nonyl Ketone 1%</x:v>
      </x:c>
      <x:c r="J150" s="44" t="str"/>
      <x:c r="K150" s="44" t="str">
        <x:v>Use only at the listed supplied-stock strength.</x:v>
      </x:c>
      <x:c r="L150" s="44" t="str">
        <x:v>Can prepare the dilution.</x:v>
      </x:c>
      <x:c r="M150" s="44" t="str">
        <x:v>AM-E03, AM-E06, AM-E08, AM-E09, AM-E10, AM-E11, AM-L01, AM-L02, AM-L03, AM-L05, AM-L07, AM-L09, AM-N01, AM-N02, AM-N03, AM-N06, AM-N07, AM-N10, AM-N14, AM-N15, PR-N01</x:v>
      </x:c>
    </x:row>
    <x:row r="151" ht="45" customHeight="1">
      <x:c r="A151" s="44" t="n">
        <x:v>146</x:v>
      </x:c>
      <x:c r="B151" s="44" t="str">
        <x:v>Methyl Salicylate</x:v>
      </x:c>
      <x:c r="C151" s="44" t="str">
        <x:v>neat</x:v>
      </x:c>
      <x:c r="D151" s="46" t="n">
        <x:v>1</x:v>
      </x:c>
      <x:c r="E151" s="44" t="str">
        <x:v>TRACE PREMIX</x:v>
      </x:c>
      <x:c r="F151" s="44" t="str">
        <x:v>HAVE</x:v>
      </x:c>
      <x:c r="G151" s="44" t="str">
        <x:v>neat</x:v>
      </x:c>
      <x:c r="H151" s="44" t="str"/>
      <x:c r="I151" s="44" t="str">
        <x:v>Methyl Salicylate</x:v>
      </x:c>
      <x:c r="J151" s="44" t="str"/>
      <x:c r="K151" s="44" t="str">
        <x:v>Use only at the listed supplied-stock strength.</x:v>
      </x:c>
      <x:c r="L151" s="44" t="str">
        <x:v>Unchanged from prior register.</x:v>
      </x:c>
      <x:c r="M151" s="44" t="str">
        <x:v>PR-E08</x:v>
      </x:c>
    </x:row>
    <x:row r="152" ht="45" customHeight="1">
      <x:c r="A152" s="44" t="n">
        <x:v>147</x:v>
      </x:c>
      <x:c r="B152" s="44" t="str">
        <x:v>Molecule Iris</x:v>
      </x:c>
      <x:c r="C152" s="44" t="str">
        <x:v>as supplied</x:v>
      </x:c>
      <x:c r="D152" s="46" t="n">
        <x:v>1</x:v>
      </x:c>
      <x:c r="E152" s="44" t="str">
        <x:v>TRACE PREMIX</x:v>
      </x:c>
      <x:c r="F152" s="44" t="str">
        <x:v>BANNED / DELETE</x:v>
      </x:c>
      <x:c r="G152" s="44" t="str"/>
      <x:c r="H152" s="44" t="str"/>
      <x:c r="I152" s="44" t="str">
        <x:v>DO NOT USE — Molecule Iris</x:v>
      </x:c>
      <x:c r="J152" s="44" t="str"/>
      <x:c r="K152" s="44" t="str">
        <x:v>Remove forever from formulas and inventory recommendations.</x:v>
      </x:c>
      <x:c r="L152" s="44" t="str">
        <x:v>Permanent user ban.</x:v>
      </x:c>
      <x:c r="M152" s="44" t="str">
        <x:v>AM-E01, AM-E02, AM-E05, AM-E06, AM-E08, AM-E09, AM-E10, AM-L04, AM-L07, AM-L08, AM-L09, AM-N01, AM-N05, AM-N06, AM-N12, AM-N16, C01, C03, H01, H02, H04, H05, H06, H07, H08, O01, O02, O04, PR-E02, PR-N02, Y09, Y10, Y11, Y12, Y13</x:v>
      </x:c>
    </x:row>
    <x:row r="153" ht="45" customHeight="1">
      <x:c r="A153" s="44" t="n">
        <x:v>148</x:v>
      </x:c>
      <x:c r="B153" s="44" t="str">
        <x:v>Musk Ketone 10%</x:v>
      </x:c>
      <x:c r="C153" s="44" t="str">
        <x:v>10% in DPG</x:v>
      </x:c>
      <x:c r="D153" s="46" t="n">
        <x:v>0.1</x:v>
      </x:c>
      <x:c r="E153" s="44" t="str">
        <x:v>PREPARED STOCK</x:v>
      </x:c>
      <x:c r="F153" s="44" t="str">
        <x:v>HAVE</x:v>
      </x:c>
      <x:c r="G153" s="44" t="str">
        <x:v>10% in DPG</x:v>
      </x:c>
      <x:c r="H153" s="44" t="str"/>
      <x:c r="I153" s="44" t="str">
        <x:v>Musk Ketone 10%</x:v>
      </x:c>
      <x:c r="J153" s="44" t="str"/>
      <x:c r="K153" s="44" t="str">
        <x:v>Use only at the listed supplied-stock strength.</x:v>
      </x:c>
      <x:c r="L153" s="44" t="str">
        <x:v>Unchanged from prior register.</x:v>
      </x:c>
      <x:c r="M153" s="44" t="str">
        <x:v>AM-E01, AM-E02, AM-E03, AM-E04, AM-E05, AM-E06, AM-E07, AM-E08, AM-E09, AM-E10, AM-E11, AM-E12, AM-E13, AM-E14, AM-E15, AM-E16, AM-L01, AM-L02, AM-L03, AM-L04, AM-L05, AM-L06, AM-L07, AM-L08, AM-L09, AM-N01, AM-N02, AM-N03, AM-N04, AM-N05, AM-N06, AM-N07, AM-N08, AM-N09, AM-N10, AM-N11, AM-N12, AM-N13, AM-N15, AM-N16, C01, H01, H02, H03, H04, H05, H06, H07, H08, H10, H11, H12, H13, H14, H15, PR-E05, PR-E07, PR-E08, PR-L01, PR-L04, PR-N05, PR-N07, PR-N09, PR-N14, S01, S02, S03, S04, S05, S06, S07, S08, Y08, Y12</x:v>
      </x:c>
    </x:row>
    <x:row r="154" ht="45" customHeight="1">
      <x:c r="A154" s="44" t="n">
        <x:v>149</x:v>
      </x:c>
      <x:c r="B154" s="44" t="str">
        <x:v>Myrrh Resinoid 50%</x:v>
      </x:c>
      <x:c r="C154" s="44" t="str">
        <x:v>50% target-required working dilution</x:v>
      </x:c>
      <x:c r="D154" s="46" t="n">
        <x:v>0.5</x:v>
      </x:c>
      <x:c r="E154" s="44" t="str">
        <x:v>TARGET REQUIRED / INVENTORY GAP</x:v>
      </x:c>
      <x:c r="F154" s="44" t="str">
        <x:v>GAP</x:v>
      </x:c>
      <x:c r="G154" s="44" t="str"/>
      <x:c r="H154" s="44" t="str"/>
      <x:c r="I154" s="44" t="str">
        <x:v>Myrrh Resinoid 50%</x:v>
      </x:c>
      <x:c r="J154" s="44" t="str"/>
      <x:c r="K154" s="44" t="str">
        <x:v>Do not substitute silently; target-required material is not in stock.</x:v>
      </x:c>
      <x:c r="L154" s="44" t="str">
        <x:v>Unchanged from prior register.</x:v>
      </x:c>
      <x:c r="M154" s="44" t="str">
        <x:v>AM-E07, AM-E10, AM-N02, AM-N05, AM-N14, AM-N16, PR-E08</x:v>
      </x:c>
    </x:row>
    <x:row r="155" ht="45" customHeight="1">
      <x:c r="A155" s="44" t="n">
        <x:v>150</x:v>
      </x:c>
      <x:c r="B155" s="44" t="str">
        <x:v>Neroli EO</x:v>
      </x:c>
      <x:c r="C155" s="44" t="str">
        <x:v>neat / as supplied</x:v>
      </x:c>
      <x:c r="D155" s="46" t="n">
        <x:v>1</x:v>
      </x:c>
      <x:c r="E155" s="44" t="str">
        <x:v>DIRECT</x:v>
      </x:c>
      <x:c r="F155" s="44" t="str">
        <x:v>DUPLICATE / NO NEAT</x:v>
      </x:c>
      <x:c r="G155" s="44" t="str">
        <x:v>Neroli EO 10% in DPG only</x:v>
      </x:c>
      <x:c r="H155" s="44" t="str"/>
      <x:c r="I155" s="44" t="str">
        <x:v>Neroli EO 10% in DPG</x:v>
      </x:c>
      <x:c r="J155" s="44" t="str">
        <x:v>Use item 151 as the canonical stock.</x:v>
      </x:c>
      <x:c r="K155" s="44" t="str">
        <x:v>Do not use formulas calling for neat Neroli EO.</x:v>
      </x:c>
      <x:c r="L155" s="44" t="str">
        <x:v>Only 10% DPG is available.</x:v>
      </x:c>
      <x:c r="M155" s="44" t="str">
        <x:v>PR-E01, PR-L04, PR-L05, PR-N04</x:v>
      </x:c>
    </x:row>
    <x:row r="156" ht="45" customHeight="1">
      <x:c r="A156" s="44" t="n">
        <x:v>151</x:v>
      </x:c>
      <x:c r="B156" s="44" t="str">
        <x:v>Neroli EO 10%</x:v>
      </x:c>
      <x:c r="C156" s="44" t="str">
        <x:v>10% working stock</x:v>
      </x:c>
      <x:c r="D156" s="46" t="n">
        <x:v>0.1</x:v>
      </x:c>
      <x:c r="E156" s="44" t="str">
        <x:v>PREPARED STOCK</x:v>
      </x:c>
      <x:c r="F156" s="44" t="str">
        <x:v>HAVE — 10% ONLY</x:v>
      </x:c>
      <x:c r="G156" s="44" t="str">
        <x:v>Neroli EO 10% in DPG</x:v>
      </x:c>
      <x:c r="H156" s="44" t="str"/>
      <x:c r="I156" s="44" t="str">
        <x:v>Neroli EO 10% in DPG</x:v>
      </x:c>
      <x:c r="J156" s="44" t="str"/>
      <x:c r="K156" s="44" t="str">
        <x:v>Use only at the listed supplied-stock strength.</x:v>
      </x:c>
      <x:c r="L156" s="44" t="str">
        <x:v>Canonical Neroli stock.</x:v>
      </x:c>
      <x:c r="M156" s="44" t="str">
        <x:v>H08, H09, H10, O02, PR-E08, PR-L03, PR-L04, PR-L05, PR-N04, PR-N05, PR-N11, PR-N13, Y03, Y04</x:v>
      </x:c>
    </x:row>
    <x:row r="157" ht="45" customHeight="1">
      <x:c r="A157" s="44" t="n">
        <x:v>152</x:v>
      </x:c>
      <x:c r="B157" s="44" t="str">
        <x:v>Norlimbanol Dextro 10%</x:v>
      </x:c>
      <x:c r="C157" s="44" t="str">
        <x:v>10% in DEP</x:v>
      </x:c>
      <x:c r="D157" s="46" t="n">
        <x:v>0.1</x:v>
      </x:c>
      <x:c r="E157" s="44" t="str">
        <x:v>PREPARED STOCK</x:v>
      </x:c>
      <x:c r="F157" s="44" t="str">
        <x:v>HAVE</x:v>
      </x:c>
      <x:c r="G157" s="44" t="str">
        <x:v>10% in DEP</x:v>
      </x:c>
      <x:c r="H157" s="44" t="str"/>
      <x:c r="I157" s="44" t="str">
        <x:v>Norlimbanol Dextro 10%</x:v>
      </x:c>
      <x:c r="J157" s="44" t="str"/>
      <x:c r="K157" s="44" t="str">
        <x:v>Use only at the listed supplied-stock strength.</x:v>
      </x:c>
      <x:c r="L157" s="44" t="str">
        <x:v>Unchanged from prior register.</x:v>
      </x:c>
      <x:c r="M157" s="44" t="str">
        <x:v>AM-E01, AM-E02, AM-E03, AM-E04, AM-E05, AM-E06, AM-E07, AM-E08, AM-E09, AM-E10, AM-E11, AM-E12, AM-E13, AM-E14, AM-E15, AM-E16, AM-L01, AM-L02, AM-L03, AM-L04, AM-L05, AM-L06, AM-L07, AM-L08, AM-L09, AM-N01, AM-N02, AM-N03, AM-N04, AM-N05, AM-N06, AM-N07, AM-N08, AM-N09, AM-N10, AM-N11, AM-N12, AM-N13, AM-N14, AM-N15, AM-N16, C07, C08, PR-E03, PR-E06, PR-N01, PR-N06, PR-N09, Y01</x:v>
      </x:c>
    </x:row>
    <x:row r="158" ht="45" customHeight="1">
      <x:c r="A158" s="44" t="n">
        <x:v>153</x:v>
      </x:c>
      <x:c r="B158" s="44" t="str">
        <x:v>Nutmeg EO</x:v>
      </x:c>
      <x:c r="C158" s="44" t="str">
        <x:v>neat</x:v>
      </x:c>
      <x:c r="D158" s="46" t="n">
        <x:v>1</x:v>
      </x:c>
      <x:c r="E158" s="44" t="str">
        <x:v>DIRECT</x:v>
      </x:c>
      <x:c r="F158" s="44" t="str">
        <x:v>GAP</x:v>
      </x:c>
      <x:c r="G158" s="44" t="str"/>
      <x:c r="H158" s="44" t="str"/>
      <x:c r="I158" s="44" t="str">
        <x:v>Nutmeg EO</x:v>
      </x:c>
      <x:c r="J158" s="44" t="str"/>
      <x:c r="K158" s="44" t="str">
        <x:v>Use only at the listed supplied-stock strength.</x:v>
      </x:c>
      <x:c r="L158" s="44" t="str">
        <x:v>No Nutmeg EO yet.</x:v>
      </x:c>
      <x:c r="M158" s="44" t="str">
        <x:v>AM-E01, AM-E02, AM-E03, AM-E04, AM-E05, AM-E06, AM-E07, AM-E08, AM-E09, AM-E10, AM-E11, AM-E12, AM-E13, AM-E14, AM-E15, AM-E16, AM-L01, AM-L02, AM-L03, AM-L04, AM-L05, AM-L06, AM-L07, AM-L08, AM-L09, AM-N01, AM-N02, AM-N03, AM-N04, AM-N05, AM-N06, AM-N07, AM-N08, AM-N09, AM-N10, AM-N11, AM-N12, AM-N13, AM-N14, AM-N15, AM-N16, PR-N12, Y01, Y08</x:v>
      </x:c>
    </x:row>
    <x:row r="159" ht="45" customHeight="1">
      <x:c r="A159" s="44" t="n">
        <x:v>154</x:v>
      </x:c>
      <x:c r="B159" s="44" t="str">
        <x:v>Nympheal</x:v>
      </x:c>
      <x:c r="C159" s="44" t="str">
        <x:v>as supplied; product basis</x:v>
      </x:c>
      <x:c r="D159" s="46" t="n">
        <x:v>1</x:v>
      </x:c>
      <x:c r="E159" s="44" t="str">
        <x:v>PRODUCT BASIS</x:v>
      </x:c>
      <x:c r="F159" s="44" t="str">
        <x:v>HAVE</x:v>
      </x:c>
      <x:c r="G159" s="44" t="str">
        <x:v>as supplied; product basis</x:v>
      </x:c>
      <x:c r="H159" s="44" t="str"/>
      <x:c r="I159" s="44" t="str">
        <x:v>Nympheal</x:v>
      </x:c>
      <x:c r="J159" s="44" t="str"/>
      <x:c r="K159" s="44" t="str">
        <x:v>Use only at the listed supplied-stock strength.</x:v>
      </x:c>
      <x:c r="L159" s="44" t="str">
        <x:v>Unchanged from prior register.</x:v>
      </x:c>
      <x:c r="M159" s="44" t="str">
        <x:v>AM-E01, AM-E02, AM-E03, AM-E04, AM-E05, AM-E06, AM-E07, AM-E08, AM-E09, AM-E10, AM-E11, AM-E12, AM-E13, AM-E14, AM-E15, AM-L01, AM-L02, AM-L03, AM-L04, AM-L05, AM-L06, AM-L07, AM-L08, AM-L09, AM-N01, AM-N02, AM-N03, AM-N04, AM-N05, AM-N06, AM-N07, AM-N08, AM-N09, AM-N11, AM-N12, AM-N13, AM-N14, AM-N15, AM-N16, C02, C03, C04, C05, C06, C07, H01, H02, H03, H04, H05, H06, H07, H09, H10, H11, H12, O01, O02, O03, O05, O06, PR-E01, PR-E02, PR-E04, PR-E07, PR-L03, PR-L05, PR-N01, PR-N03, PR-N04, S07, Y01, Y03, Y04, Y05, Y06, Y12, Y14</x:v>
      </x:c>
    </x:row>
    <x:row r="160" ht="45" customHeight="1">
      <x:c r="A160" s="44" t="n">
        <x:v>155</x:v>
      </x:c>
      <x:c r="B160" s="44" t="str">
        <x:v>Oakmoss Absolute 10%</x:v>
      </x:c>
      <x:c r="C160" s="44" t="str">
        <x:v>10% working stock</x:v>
      </x:c>
      <x:c r="D160" s="46" t="n">
        <x:v>0.1</x:v>
      </x:c>
      <x:c r="E160" s="44" t="str">
        <x:v>PREPARED STOCK</x:v>
      </x:c>
      <x:c r="F160" s="44" t="str">
        <x:v>HAVE</x:v>
      </x:c>
      <x:c r="G160" s="44" t="str">
        <x:v>10% working stock</x:v>
      </x:c>
      <x:c r="H160" s="44" t="str"/>
      <x:c r="I160" s="44" t="str">
        <x:v>Oakmoss Absolute 10%</x:v>
      </x:c>
      <x:c r="J160" s="44" t="str"/>
      <x:c r="K160" s="44" t="str">
        <x:v>Use only at the listed supplied-stock strength.</x:v>
      </x:c>
      <x:c r="L160" s="44" t="str">
        <x:v>Unchanged from prior register.</x:v>
      </x:c>
      <x:c r="M160" s="44" t="str">
        <x:v>AM-E05, AM-L05, AM-N05, C08, O06</x:v>
      </x:c>
    </x:row>
    <x:row r="161" ht="45" customHeight="1">
      <x:c r="A161" s="44" t="n">
        <x:v>156</x:v>
      </x:c>
      <x:c r="B161" s="44" t="str">
        <x:v>Oakwood CO2 10%</x:v>
      </x:c>
      <x:c r="C161" s="44" t="str">
        <x:v>10% target-required working dilution</x:v>
      </x:c>
      <x:c r="D161" s="46" t="n">
        <x:v>0.1</x:v>
      </x:c>
      <x:c r="E161" s="44" t="str">
        <x:v>TARGET REQUIRED / INVENTORY GAP</x:v>
      </x:c>
      <x:c r="F161" s="44" t="str">
        <x:v>GAP</x:v>
      </x:c>
      <x:c r="G161" s="44" t="str"/>
      <x:c r="H161" s="44" t="str"/>
      <x:c r="I161" s="44" t="str">
        <x:v>Oakwood CO2 10%</x:v>
      </x:c>
      <x:c r="J161" s="44" t="str"/>
      <x:c r="K161" s="44" t="str">
        <x:v>Do not substitute silently; target-required material is not in stock.</x:v>
      </x:c>
      <x:c r="L161" s="44" t="str">
        <x:v>No Oakwood CO2.</x:v>
      </x:c>
      <x:c r="M161" s="44" t="str">
        <x:v>AM-N09, AM-N10, AM-N15, PR-E07</x:v>
      </x:c>
    </x:row>
    <x:row r="162" ht="45" customHeight="1">
      <x:c r="A162" s="44" t="n">
        <x:v>157</x:v>
      </x:c>
      <x:c r="B162" s="44" t="str">
        <x:v>Olibanum 50%</x:v>
      </x:c>
      <x:c r="C162" s="44" t="str">
        <x:v>50% in DPG</x:v>
      </x:c>
      <x:c r="D162" s="46" t="n">
        <x:v>0.5</x:v>
      </x:c>
      <x:c r="E162" s="44" t="str">
        <x:v>PREPARED STOCK</x:v>
      </x:c>
      <x:c r="F162" s="44" t="str">
        <x:v>HAVE</x:v>
      </x:c>
      <x:c r="G162" s="44" t="str">
        <x:v>50% in DPG</x:v>
      </x:c>
      <x:c r="H162" s="44" t="str"/>
      <x:c r="I162" s="44" t="str">
        <x:v>Olibanum 50%</x:v>
      </x:c>
      <x:c r="J162" s="44" t="str"/>
      <x:c r="K162" s="44" t="str">
        <x:v>Use only at the listed supplied-stock strength.</x:v>
      </x:c>
      <x:c r="L162" s="44" t="str">
        <x:v>Unchanged from prior register.</x:v>
      </x:c>
      <x:c r="M162" s="44" t="str">
        <x:v>AM-E01, AM-E02, AM-E03, AM-E04, AM-E05, AM-E06, AM-E07, AM-E08, AM-E09, AM-E10, AM-E11, AM-E12, AM-E13, AM-E14, AM-E15, AM-E16, AM-L01, AM-L02, AM-L03, AM-L04, AM-L05, AM-L06, AM-L07, AM-L08, AM-L09, AM-N01, AM-N02, AM-N03, AM-N04, AM-N05, AM-N06, AM-N07, AM-N08, AM-N09, AM-N10, AM-N11, AM-N12, AM-N13, AM-N14, AM-N15, AM-N16, C07, C08, H01, H02, H03, H08, H11, H14, H15, O04, O05, PR-E04, PR-E06, PR-E07, PR-E08, PR-E09, PR-L03, PR-N05, PR-N06, PR-N07, PR-N09, PR-N10, PR-N13, S01, S02, S04, S07, S08, Y01, Y08, Y09, Y11</x:v>
      </x:c>
    </x:row>
    <x:row r="163" ht="45" customHeight="1">
      <x:c r="A163" s="44" t="n">
        <x:v>158</x:v>
      </x:c>
      <x:c r="B163" s="44" t="str">
        <x:v>Opoponax Resinoid 50%</x:v>
      </x:c>
      <x:c r="C163" s="44" t="str">
        <x:v>50% target-required working dilution</x:v>
      </x:c>
      <x:c r="D163" s="46" t="n">
        <x:v>0.5</x:v>
      </x:c>
      <x:c r="E163" s="44" t="str">
        <x:v>TARGET REQUIRED / INVENTORY GAP</x:v>
      </x:c>
      <x:c r="F163" s="44" t="str">
        <x:v>HAVE</x:v>
      </x:c>
      <x:c r="G163" s="44" t="str">
        <x:v>Opoponax Resinoid 50% in DPG</x:v>
      </x:c>
      <x:c r="H163" s="44" t="str"/>
      <x:c r="I163" s="44" t="str">
        <x:v>Opoponax Resinoid 50%</x:v>
      </x:c>
      <x:c r="J163" s="44" t="str"/>
      <x:c r="K163" s="44" t="str">
        <x:v>Do not substitute silently; target-required material is not in stock.</x:v>
      </x:c>
      <x:c r="L163" s="44" t="str">
        <x:v>User confirms the listed 50% DPG stock.</x:v>
      </x:c>
      <x:c r="M163" s="44" t="str">
        <x:v>AM-N15</x:v>
      </x:c>
    </x:row>
    <x:row r="164" ht="45" customHeight="1">
      <x:c r="A164" s="44" t="n">
        <x:v>159</x:v>
      </x:c>
      <x:c r="B164" s="44" t="str">
        <x:v>Orange Blossom Absolute 10%</x:v>
      </x:c>
      <x:c r="C164" s="44" t="str">
        <x:v>10% target-required working dilution</x:v>
      </x:c>
      <x:c r="D164" s="46" t="n">
        <x:v>0.1</x:v>
      </x:c>
      <x:c r="E164" s="44" t="str">
        <x:v>TARGET REQUIRED / INVENTORY GAP</x:v>
      </x:c>
      <x:c r="F164" s="44" t="str">
        <x:v>GAP</x:v>
      </x:c>
      <x:c r="G164" s="44" t="str"/>
      <x:c r="H164" s="44" t="str"/>
      <x:c r="I164" s="44" t="str">
        <x:v>Orange Blossom Absolute 10%</x:v>
      </x:c>
      <x:c r="J164" s="44" t="str"/>
      <x:c r="K164" s="44" t="str">
        <x:v>Do not substitute silently; target-required material is not in stock.</x:v>
      </x:c>
      <x:c r="L164" s="44" t="str">
        <x:v>Unchanged from prior register.</x:v>
      </x:c>
      <x:c r="M164" s="44" t="str">
        <x:v>AM-N15, Y03, Y04</x:v>
      </x:c>
    </x:row>
    <x:row r="165" ht="45" customHeight="1">
      <x:c r="A165" s="44" t="n">
        <x:v>160</x:v>
      </x:c>
      <x:c r="B165" s="44" t="str">
        <x:v>Oregano EO 10%</x:v>
      </x:c>
      <x:c r="C165" s="44" t="str">
        <x:v>10% target-required working dilution</x:v>
      </x:c>
      <x:c r="D165" s="46" t="n">
        <x:v>0.1</x:v>
      </x:c>
      <x:c r="E165" s="44" t="str">
        <x:v>TARGET REQUIRED / INVENTORY GAP</x:v>
      </x:c>
      <x:c r="F165" s="44" t="str">
        <x:v>GAP</x:v>
      </x:c>
      <x:c r="G165" s="44" t="str"/>
      <x:c r="H165" s="44" t="str"/>
      <x:c r="I165" s="44" t="str">
        <x:v>Oregano EO 10%</x:v>
      </x:c>
      <x:c r="J165" s="44" t="str"/>
      <x:c r="K165" s="44" t="str">
        <x:v>Do not substitute silently; target-required material is not in stock.</x:v>
      </x:c>
      <x:c r="L165" s="44" t="str">
        <x:v>Unchanged from prior register.</x:v>
      </x:c>
      <x:c r="M165" s="44" t="str">
        <x:v>AM-E03</x:v>
      </x:c>
    </x:row>
    <x:row r="166" ht="45" customHeight="1">
      <x:c r="A166" s="44" t="n">
        <x:v>161</x:v>
      </x:c>
      <x:c r="B166" s="44" t="str">
        <x:v>Orivone</x:v>
      </x:c>
      <x:c r="C166" s="44" t="str">
        <x:v>neat</x:v>
      </x:c>
      <x:c r="D166" s="46" t="n">
        <x:v>1</x:v>
      </x:c>
      <x:c r="E166" s="44" t="str">
        <x:v>DIRECT</x:v>
      </x:c>
      <x:c r="F166" s="44" t="str">
        <x:v>HAVE</x:v>
      </x:c>
      <x:c r="G166" s="44" t="str">
        <x:v>neat</x:v>
      </x:c>
      <x:c r="H166" s="44" t="str"/>
      <x:c r="I166" s="44" t="str">
        <x:v>Orivone</x:v>
      </x:c>
      <x:c r="J166" s="44" t="str"/>
      <x:c r="K166" s="44" t="str">
        <x:v>Use only at the listed supplied-stock strength.</x:v>
      </x:c>
      <x:c r="L166" s="44" t="str">
        <x:v>Unchanged from prior register.</x:v>
      </x:c>
      <x:c r="M166" s="44" t="str">
        <x:v>AM-E01, AM-E02, AM-E05, AM-E06, AM-E08, AM-E09, AM-E10, AM-L04, AM-L07, AM-L08, AM-L09, AM-N01, AM-N04, AM-N05, AM-N06, AM-N12, AM-N13, AM-N16, H01, H02, H04, H05, H06, H07, H08, H10, H12, O01, O02, O04, O05, PR-E02, PR-L03, PR-L04, PR-L05, PR-N02, PR-N03, PR-N04, PR-N11, Y09, Y11</x:v>
      </x:c>
    </x:row>
    <x:row r="167" ht="45" customHeight="1">
      <x:c r="A167" s="44" t="n">
        <x:v>162</x:v>
      </x:c>
      <x:c r="B167" s="44" t="str">
        <x:v>Orris Liquid 30%</x:v>
      </x:c>
      <x:c r="C167" s="44" t="str">
        <x:v>30% product stock</x:v>
      </x:c>
      <x:c r="D167" s="46" t="n">
        <x:v>0.3</x:v>
      </x:c>
      <x:c r="E167" s="44" t="str">
        <x:v>PRODUCT BASIS</x:v>
      </x:c>
      <x:c r="F167" s="44" t="str">
        <x:v>PRODUCT BASIS — VERIFY</x:v>
      </x:c>
      <x:c r="G167" s="44" t="str">
        <x:v>Supplier-described as "EO of Orris Absolute"; exact composition/strength unknown</x:v>
      </x:c>
      <x:c r="H167" s="44" t="str"/>
      <x:c r="I167" s="44" t="str">
        <x:v>Orris Liquid 30%</x:v>
      </x:c>
      <x:c r="J167" s="44" t="str"/>
      <x:c r="K167" s="44" t="str">
        <x:v>Do not assume 30% activity. Record as product basis until label/SDS clarifies composition.</x:v>
      </x:c>
      <x:c r="L167" s="44" t="str">
        <x:v>User says the product is described as EO of Orris Absolute.</x:v>
      </x:c>
      <x:c r="M167" s="44" t="str">
        <x:v>AM-E01, AM-E02, AM-E09, AM-E10, AM-L04, AM-L07, AM-L08, AM-L09, AM-N01, AM-N05, AM-N12, AM-N16, H01, H02, H04, H05, H06, H07, H08, H10, H12, O01, O02, O04, PR-E02, PR-E05, PR-L03, PR-L04, PR-N02, PR-N04, PR-N11, Y09, Y11</x:v>
      </x:c>
    </x:row>
    <x:row r="168" ht="45" customHeight="1">
      <x:c r="A168" s="44" t="n">
        <x:v>163</x:v>
      </x:c>
      <x:c r="B168" s="44" t="str">
        <x:v>Osmanthus Absolute 10%</x:v>
      </x:c>
      <x:c r="C168" s="44" t="str">
        <x:v>10% target-required working dilution</x:v>
      </x:c>
      <x:c r="D168" s="46" t="n">
        <x:v>0.1</x:v>
      </x:c>
      <x:c r="E168" s="44" t="str">
        <x:v>TARGET REQUIRED / INVENTORY GAP</x:v>
      </x:c>
      <x:c r="F168" s="44" t="str">
        <x:v>HAVE — TWO PRODUCTS</x:v>
      </x:c>
      <x:c r="G168" s="44" t="str">
        <x:v>Osmanthus Absolute 10% plus Osmanthus EO volume-grade product</x:v>
      </x:c>
      <x:c r="H168" s="44" t="str"/>
      <x:c r="I168" s="44" t="str">
        <x:v>Osmanthus Absolute 10%</x:v>
      </x:c>
      <x:c r="J168" s="44" t="str"/>
      <x:c r="K168" s="44" t="str">
        <x:v>Treat volume-grade EO as product basis unless composition is disclosed.</x:v>
      </x:c>
      <x:c r="L168" s="44" t="str">
        <x:v>Both stocks are available.</x:v>
      </x:c>
      <x:c r="M168" s="44" t="str">
        <x:v>AM-N13</x:v>
      </x:c>
    </x:row>
    <x:row r="169" ht="45" customHeight="1">
      <x:c r="A169" s="44" t="n">
        <x:v>164</x:v>
      </x:c>
      <x:c r="B169" s="44" t="str">
        <x:v>Papyrus / Cypriol EO</x:v>
      </x:c>
      <x:c r="C169" s="44" t="str">
        <x:v>target-required authentic material</x:v>
      </x:c>
      <x:c r="D169" s="46" t="n">
        <x:v>1</x:v>
      </x:c>
      <x:c r="E169" s="44" t="str">
        <x:v>TARGET REQUIRED / INVENTORY GAP</x:v>
      </x:c>
      <x:c r="F169" s="44" t="str">
        <x:v>GAP</x:v>
      </x:c>
      <x:c r="G169" s="44" t="str"/>
      <x:c r="H169" s="44" t="str"/>
      <x:c r="I169" s="44" t="str">
        <x:v>Papyrus / Cypriol EO</x:v>
      </x:c>
      <x:c r="J169" s="44" t="str"/>
      <x:c r="K169" s="44" t="str">
        <x:v>Do not substitute silently; target-required material is not in stock.</x:v>
      </x:c>
      <x:c r="L169" s="44" t="str">
        <x:v>Unchanged from prior register.</x:v>
      </x:c>
      <x:c r="M169" s="44" t="str">
        <x:v>AM-E12, AM-N03, AM-N08, AM-N16, PR-N14</x:v>
      </x:c>
    </x:row>
    <x:row r="170" ht="45" customHeight="1">
      <x:c r="A170" s="44" t="n">
        <x:v>165</x:v>
      </x:c>
      <x:c r="B170" s="44" t="str">
        <x:v>Patchouli EO</x:v>
      </x:c>
      <x:c r="C170" s="44" t="str">
        <x:v>neat / as supplied</x:v>
      </x:c>
      <x:c r="D170" s="46" t="n">
        <x:v>1</x:v>
      </x:c>
      <x:c r="E170" s="44" t="str">
        <x:v>DIRECT</x:v>
      </x:c>
      <x:c r="F170" s="44" t="str">
        <x:v>HAVE</x:v>
      </x:c>
      <x:c r="G170" s="44" t="str">
        <x:v>neat / as supplied</x:v>
      </x:c>
      <x:c r="H170" s="44" t="str"/>
      <x:c r="I170" s="44" t="str">
        <x:v>Patchouli EO</x:v>
      </x:c>
      <x:c r="J170" s="44" t="str"/>
      <x:c r="K170" s="44" t="str">
        <x:v>Use only at the listed supplied-stock strength.</x:v>
      </x:c>
      <x:c r="L170" s="44" t="str">
        <x:v>Unchanged from prior register.</x:v>
      </x:c>
      <x:c r="M170" s="44" t="str">
        <x:v>AM-E01, AM-E02, AM-E03, AM-E04, AM-E05, AM-E06, AM-E07, AM-E08, AM-E09, AM-E10, AM-E11, AM-E12, AM-E13, AM-E14, AM-E15, AM-E16, AM-L01, AM-L02, AM-L03, AM-L04, AM-L05, AM-L06, AM-L07, AM-L08, AM-L09, AM-N01, AM-N02, AM-N03, AM-N04, AM-N05, AM-N06, AM-N07, AM-N08, AM-N09, AM-N10, AM-N11, AM-N12, AM-N13, AM-N14, AM-N15, AM-N16, C01, C07, C08, H01, H03, H04, H05, H06, H07, H08, O04, O05, PR-E01, PR-E02, PR-E04, PR-E05, PR-E07, PR-E08, PR-E09, PR-L01, PR-L04, PR-N02, PR-N05, PR-N06, PR-N07, S01, S02, S03, S04, S05, S06, S08, Y01, Y07, Y08, Y09, Y11</x:v>
      </x:c>
    </x:row>
    <x:row r="171" ht="45" customHeight="1">
      <x:c r="A171" s="44" t="n">
        <x:v>166</x:v>
      </x:c>
      <x:c r="B171" s="44" t="str">
        <x:v>Pear Accord 10%</x:v>
      </x:c>
      <x:c r="C171" s="44" t="str">
        <x:v>10% target-required accord</x:v>
      </x:c>
      <x:c r="D171" s="46" t="n">
        <x:v>0.1</x:v>
      </x:c>
      <x:c r="E171" s="44" t="str">
        <x:v>TARGET REQUIRED / INVENTORY GAP</x:v>
      </x:c>
      <x:c r="F171" s="44" t="str">
        <x:v>GAP — ACCORD</x:v>
      </x:c>
      <x:c r="G171" s="44" t="str">
        <x:v>Hexyl Acetate and other fruit materials available</x:v>
      </x:c>
      <x:c r="H171" s="44" t="str"/>
      <x:c r="I171" s="44" t="str">
        <x:v>Pear Accord 10%</x:v>
      </x:c>
      <x:c r="J171" s="44" t="str">
        <x:v>Hexyl Acetate is not a Pear Accord.</x:v>
      </x:c>
      <x:c r="K171" s="44" t="str">
        <x:v>Keep Pear Accord as a gap unless an explicit accord is formulated.</x:v>
      </x:c>
      <x:c r="L171" s="44" t="str">
        <x:v>No finished Pear Accord.</x:v>
      </x:c>
      <x:c r="M171" s="44" t="str">
        <x:v>AM-N13</x:v>
      </x:c>
    </x:row>
    <x:row r="172" ht="45" customHeight="1">
      <x:c r="A172" s="44" t="n">
        <x:v>167</x:v>
      </x:c>
      <x:c r="B172" s="44" t="str">
        <x:v>Peru Balsam 10%</x:v>
      </x:c>
      <x:c r="C172" s="44" t="str">
        <x:v>10% in DPG</x:v>
      </x:c>
      <x:c r="D172" s="46" t="n">
        <x:v>0.1</x:v>
      </x:c>
      <x:c r="E172" s="44" t="str">
        <x:v>PREPARED STOCK</x:v>
      </x:c>
      <x:c r="F172" s="44" t="str">
        <x:v>HAVE — 50% ONLY</x:v>
      </x:c>
      <x:c r="G172" s="44" t="str">
        <x:v>Peru Balsam Resinoid 50%</x:v>
      </x:c>
      <x:c r="H172" s="44" t="str">
        <x:v>Dilute to 10% only if required.</x:v>
      </x:c>
      <x:c r="I172" s="44" t="str">
        <x:v>Peru Balsam 10%</x:v>
      </x:c>
      <x:c r="J172" s="44" t="str"/>
      <x:c r="K172" s="44" t="str">
        <x:v>Recalculate formulas written for 10% stock.</x:v>
      </x:c>
      <x:c r="L172" s="44" t="str">
        <x:v>User has 50% resinoid, not 10%.</x:v>
      </x:c>
      <x:c r="M172" s="44" t="str">
        <x:v>AM-E02, AM-E03, AM-E04, AM-E05, AM-E06, AM-E07, AM-E08, AM-E10, AM-E11, AM-E12, AM-E13, AM-E14, AM-E15, AM-E16, AM-L02, AM-L03, AM-L04, AM-L05, AM-L06, AM-L08, AM-L09, AM-N01, AM-N02, AM-N04, AM-N05, AM-N06, AM-N08, AM-N09, AM-N10, AM-N11, AM-N12, AM-N14, AM-N15, AM-N16, C08, PR-E05, PR-E08, PR-E09, PR-N05, PR-N06, PR-N07, PR-N09, PR-N13</x:v>
      </x:c>
    </x:row>
    <x:row r="173" ht="45" customHeight="1">
      <x:c r="A173" s="44" t="n">
        <x:v>168</x:v>
      </x:c>
      <x:c r="B173" s="44" t="str">
        <x:v>Petitgrain EO</x:v>
      </x:c>
      <x:c r="C173" s="44" t="str">
        <x:v>neat / as supplied</x:v>
      </x:c>
      <x:c r="D173" s="46" t="n">
        <x:v>1</x:v>
      </x:c>
      <x:c r="E173" s="44" t="str">
        <x:v>DIRECT</x:v>
      </x:c>
      <x:c r="F173" s="44" t="str">
        <x:v>GAP</x:v>
      </x:c>
      <x:c r="G173" s="44" t="str"/>
      <x:c r="H173" s="44" t="str"/>
      <x:c r="I173" s="44" t="str">
        <x:v>Petitgrain EO</x:v>
      </x:c>
      <x:c r="J173" s="44" t="str"/>
      <x:c r="K173" s="44" t="str">
        <x:v>Use only at the listed supplied-stock strength.</x:v>
      </x:c>
      <x:c r="L173" s="44" t="str">
        <x:v>No generic Petitgrain EO.</x:v>
      </x:c>
      <x:c r="M173" s="44" t="str">
        <x:v>PR-E04</x:v>
      </x:c>
    </x:row>
    <x:row r="174" ht="45" customHeight="1">
      <x:c r="A174" s="44" t="n">
        <x:v>169</x:v>
      </x:c>
      <x:c r="B174" s="44" t="str">
        <x:v>Petitgrain EO Paraguay</x:v>
      </x:c>
      <x:c r="C174" s="44" t="str">
        <x:v>neat / as supplied</x:v>
      </x:c>
      <x:c r="D174" s="46" t="n">
        <x:v>1</x:v>
      </x:c>
      <x:c r="E174" s="44" t="str">
        <x:v>DIRECT</x:v>
      </x:c>
      <x:c r="F174" s="44" t="str">
        <x:v>HAVE</x:v>
      </x:c>
      <x:c r="G174" s="44" t="str">
        <x:v>neat / as supplied</x:v>
      </x:c>
      <x:c r="H174" s="44" t="str"/>
      <x:c r="I174" s="44" t="str">
        <x:v>Petitgrain EO Paraguay</x:v>
      </x:c>
      <x:c r="J174" s="44" t="str"/>
      <x:c r="K174" s="44" t="str">
        <x:v>Use only at the listed supplied-stock strength.</x:v>
      </x:c>
      <x:c r="L174" s="44" t="str">
        <x:v>Unchanged from prior register.</x:v>
      </x:c>
      <x:c r="M174" s="44" t="str">
        <x:v>AM-E01, AM-E02, AM-E03, AM-E04, AM-E05, AM-E06, AM-E07, AM-E08, AM-E09, AM-E10, AM-E11, AM-E12, AM-E13, AM-E14, AM-E15, AM-E16, AM-L01, AM-L02, AM-L03, AM-L04, AM-L05, AM-L06, AM-L07, AM-L08, AM-L09, AM-N01, AM-N02, AM-N03, AM-N04, AM-N05, AM-N06, AM-N07, AM-N08, AM-N09, AM-N10, AM-N11, AM-N12, AM-N13, AM-N15, AM-N16, C01, C02, C03, C04, C05, C06, C07, C08, H01, H02, H03, H08, H09, H11, H12, H14, H15, O01, O05, O06, PR-E01, PR-E03, PR-E06, PR-E08, PR-E09, PR-L02, PR-L03, PR-L05, PR-N01, PR-N02, PR-N04, S01, S02, S03, S04, S05, S07, S08, Y01, Y02, Y03, Y04, Y05, Y06, Y07, Y08</x:v>
      </x:c>
    </x:row>
    <x:row r="175" ht="45" customHeight="1">
      <x:c r="A175" s="44" t="n">
        <x:v>170</x:v>
      </x:c>
      <x:c r="B175" s="44" t="str">
        <x:v>Phenethyl Alcohol</x:v>
      </x:c>
      <x:c r="C175" s="44" t="str">
        <x:v>neat / as supplied</x:v>
      </x:c>
      <x:c r="D175" s="46" t="n">
        <x:v>1</x:v>
      </x:c>
      <x:c r="E175" s="44" t="str">
        <x:v>DIRECT</x:v>
      </x:c>
      <x:c r="F175" s="44" t="str">
        <x:v>HAVE</x:v>
      </x:c>
      <x:c r="G175" s="44" t="str">
        <x:v>neat / as supplied</x:v>
      </x:c>
      <x:c r="H175" s="44" t="str"/>
      <x:c r="I175" s="44" t="str">
        <x:v>Phenethyl Alcohol</x:v>
      </x:c>
      <x:c r="J175" s="44" t="str"/>
      <x:c r="K175" s="44" t="str">
        <x:v>Use only at the listed supplied-stock strength.</x:v>
      </x:c>
      <x:c r="L175" s="44" t="str">
        <x:v>Unchanged from prior register.</x:v>
      </x:c>
      <x:c r="M175" s="44" t="str">
        <x:v>AM-E01, AM-E02, AM-E03, AM-E04, AM-E05, AM-E06, AM-E07, AM-E08, AM-E09, AM-E10, AM-E11, AM-E12, AM-E13, AM-E14, AM-E15, AM-L01, AM-L02, AM-L03, AM-L04, AM-L05, AM-L06, AM-L07, AM-L08, AM-L09, AM-N01, AM-N02, AM-N03, AM-N04, AM-N05, AM-N06, AM-N07, AM-N08, AM-N09, AM-N11, AM-N12, AM-N13, AM-N15, AM-N16, C01, C02, H01, H02, H03, H04, H05, H06, H07, H10, H11, H12, H13, H14, H15, O01, O02, O05, O06, PR-E09, S01, S02, S03, S07, Y03, Y04, Y06</x:v>
      </x:c>
    </x:row>
    <x:row r="176" ht="45" customHeight="1">
      <x:c r="A176" s="44" t="n">
        <x:v>171</x:v>
      </x:c>
      <x:c r="B176" s="44" t="str">
        <x:v>Pine EO</x:v>
      </x:c>
      <x:c r="C176" s="44" t="str">
        <x:v>neat / as supplied</x:v>
      </x:c>
      <x:c r="D176" s="46" t="n">
        <x:v>1</x:v>
      </x:c>
      <x:c r="E176" s="44" t="str">
        <x:v>DIRECT</x:v>
      </x:c>
      <x:c r="F176" s="44" t="str">
        <x:v>HAVE</x:v>
      </x:c>
      <x:c r="G176" s="44" t="str">
        <x:v>neat / as supplied</x:v>
      </x:c>
      <x:c r="H176" s="44" t="str"/>
      <x:c r="I176" s="44" t="str">
        <x:v>Pine EO</x:v>
      </x:c>
      <x:c r="J176" s="44" t="str"/>
      <x:c r="K176" s="44" t="str">
        <x:v>Use only at the listed supplied-stock strength.</x:v>
      </x:c>
      <x:c r="L176" s="44" t="str">
        <x:v>Unchanged from prior register.</x:v>
      </x:c>
      <x:c r="M176" s="44" t="str">
        <x:v>AM-E01, AM-E02, AM-E03, AM-E04, AM-E05, AM-E06, AM-E07, AM-E08, AM-E09, AM-E10, AM-E11, AM-E12, AM-E13, AM-E14, AM-E15, AM-E16, AM-L01, AM-L02, AM-L03, AM-L04, AM-L05, AM-L06, AM-L07, AM-L08, AM-L09, AM-N01, AM-N02, AM-N03, AM-N04, AM-N05, AM-N06, AM-N07, AM-N08, AM-N09, AM-N10, AM-N11, AM-N12, AM-N13, AM-N14, AM-N15, AM-N16, C05, H01, H02, H03, H08, H11, H12, H14, H15, PR-E04, PR-L01, PR-N01, PR-N02, S01, S02, S03, S04, S07, S08, Y07</x:v>
      </x:c>
    </x:row>
    <x:row r="177" ht="45" customHeight="1">
      <x:c r="A177" s="44" t="n">
        <x:v>172</x:v>
      </x:c>
      <x:c r="B177" s="44" t="str">
        <x:v>Pink Pepper EO / CO2</x:v>
      </x:c>
      <x:c r="C177" s="44" t="str">
        <x:v>target-required authentic material</x:v>
      </x:c>
      <x:c r="D177" s="46" t="n">
        <x:v>1</x:v>
      </x:c>
      <x:c r="E177" s="44" t="str">
        <x:v>TARGET REQUIRED / INVENTORY GAP</x:v>
      </x:c>
      <x:c r="F177" s="44" t="str">
        <x:v>GAP</x:v>
      </x:c>
      <x:c r="G177" s="44" t="str"/>
      <x:c r="H177" s="44" t="str"/>
      <x:c r="I177" s="44" t="str">
        <x:v>Pink Pepper EO / CO2</x:v>
      </x:c>
      <x:c r="J177" s="44" t="str"/>
      <x:c r="K177" s="44" t="str">
        <x:v>Do not substitute silently; target-required material is not in stock.</x:v>
      </x:c>
      <x:c r="L177" s="44" t="str">
        <x:v>Unchanged from prior register.</x:v>
      </x:c>
      <x:c r="M177" s="44" t="str">
        <x:v>AM-N03, AM-N10, AM-N14, AM-N15, C05, PR-L04, S02, Y10</x:v>
      </x:c>
    </x:row>
    <x:row r="178" ht="45" customHeight="1">
      <x:c r="A178" s="44" t="n">
        <x:v>173</x:v>
      </x:c>
      <x:c r="B178" s="44" t="str">
        <x:v>Polysantol</x:v>
      </x:c>
      <x:c r="C178" s="44" t="str">
        <x:v>neat / as supplied</x:v>
      </x:c>
      <x:c r="D178" s="46" t="n">
        <x:v>1</x:v>
      </x:c>
      <x:c r="E178" s="44" t="str">
        <x:v>DIRECT</x:v>
      </x:c>
      <x:c r="F178" s="44" t="str">
        <x:v>HAVE</x:v>
      </x:c>
      <x:c r="G178" s="44" t="str">
        <x:v>neat / as supplied</x:v>
      </x:c>
      <x:c r="H178" s="44" t="str"/>
      <x:c r="I178" s="44" t="str">
        <x:v>Polysantol</x:v>
      </x:c>
      <x:c r="J178" s="44" t="str"/>
      <x:c r="K178" s="44" t="str">
        <x:v>Use only at the listed supplied-stock strength.</x:v>
      </x:c>
      <x:c r="L178" s="44" t="str">
        <x:v>Unchanged from prior register.</x:v>
      </x:c>
      <x:c r="M178"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H10, H11, H12, H13, H14, H15, O02, O03, O06, PR-E05, PR-L05, PR-N02, PR-N03, PR-N04, PR-N07, PR-N08, PR-N12, PR-N14, S01, S02, S03, S04, S05, S06, S07, S08, Y02</x:v>
      </x:c>
    </x:row>
    <x:row r="179" ht="45" customHeight="1">
      <x:c r="A179" s="44" t="n">
        <x:v>174</x:v>
      </x:c>
      <x:c r="B179" s="44" t="str">
        <x:v>Prunol / Plum Accord 10%</x:v>
      </x:c>
      <x:c r="C179" s="44" t="str">
        <x:v>10% target-required accord</x:v>
      </x:c>
      <x:c r="D179" s="46" t="n">
        <x:v>0.1</x:v>
      </x:c>
      <x:c r="E179" s="44" t="str">
        <x:v>TARGET REQUIRED / INVENTORY GAP</x:v>
      </x:c>
      <x:c r="F179" s="44" t="str">
        <x:v>GAP</x:v>
      </x:c>
      <x:c r="G179" s="44" t="str"/>
      <x:c r="H179" s="44" t="str"/>
      <x:c r="I179" s="44" t="str">
        <x:v>Prunol / Plum Accord 10%</x:v>
      </x:c>
      <x:c r="J179" s="44" t="str"/>
      <x:c r="K179" s="44" t="str">
        <x:v>Do not substitute silently; target-required material is not in stock.</x:v>
      </x:c>
      <x:c r="L179" s="44" t="str">
        <x:v>Unchanged from prior register.</x:v>
      </x:c>
      <x:c r="M179" s="44" t="str">
        <x:v>AM-E05, AM-E13</x:v>
      </x:c>
    </x:row>
    <x:row r="180" ht="45" customHeight="1">
      <x:c r="A180" s="44" t="n">
        <x:v>175</x:v>
      </x:c>
      <x:c r="B180" s="44" t="str">
        <x:v>Red Mandarin EO</x:v>
      </x:c>
      <x:c r="C180" s="44" t="str">
        <x:v>neat / as supplied</x:v>
      </x:c>
      <x:c r="D180" s="46" t="n">
        <x:v>1</x:v>
      </x:c>
      <x:c r="E180" s="44" t="str">
        <x:v>DIRECT</x:v>
      </x:c>
      <x:c r="F180" s="44" t="str">
        <x:v>OUT OF STOCK</x:v>
      </x:c>
      <x:c r="G180" s="44" t="str"/>
      <x:c r="H180" s="44" t="str"/>
      <x:c r="I180" s="44" t="str">
        <x:v>Red Mandarin EO</x:v>
      </x:c>
      <x:c r="J180" s="44" t="str"/>
      <x:c r="K180" s="44" t="str">
        <x:v>Use only at the listed supplied-stock strength.</x:v>
      </x:c>
      <x:c r="L180" s="44" t="str">
        <x:v>Red Mandarin EO is gone.</x:v>
      </x:c>
      <x:c r="M180" s="44" t="str">
        <x:v>AM-E01, AM-E02, AM-E03, AM-E04, AM-E05, AM-E06, AM-E07, AM-E08, AM-E09, AM-E10, AM-E12, AM-E13, AM-E14, AM-E15, AM-E16, AM-L01, AM-L02, AM-L03, AM-L04, AM-L06, AM-L07, AM-L08, AM-L09, AM-N01, AM-N02, AM-N03, AM-N04, AM-N05, AM-N06, AM-N07, AM-N09, AM-N10, AM-N11, AM-N12, AM-N13, AM-N14, AM-N15, AM-N16, C03, C05, H08, PR-L02, PR-L03, PR-L04, PR-L05, PR-N03, PR-N04, PR-N10, PR-N11, PR-N12, PR-N13, PR-N14, S05, Y14</x:v>
      </x:c>
    </x:row>
    <x:row r="181" ht="45" customHeight="1">
      <x:c r="A181" s="44" t="n">
        <x:v>176</x:v>
      </x:c>
      <x:c r="B181" s="44" t="str">
        <x:v>Romandolide</x:v>
      </x:c>
      <x:c r="C181" s="44" t="str">
        <x:v>neat / verify label</x:v>
      </x:c>
      <x:c r="D181" s="46" t="n">
        <x:v>1</x:v>
      </x:c>
      <x:c r="E181" s="44" t="str">
        <x:v>DIRECT · VERIFY LABEL</x:v>
      </x:c>
      <x:c r="F181" s="44" t="str">
        <x:v>HAVE — NEAT</x:v>
      </x:c>
      <x:c r="G181" s="44" t="str">
        <x:v>Romandolide neat/as supplied</x:v>
      </x:c>
      <x:c r="H181" s="44" t="str"/>
      <x:c r="I181" s="44" t="str">
        <x:v>Romandolide</x:v>
      </x:c>
      <x:c r="J181" s="44" t="str">
        <x:v>PerfumersWorld neat product.</x:v>
      </x:c>
      <x:c r="K181" s="44" t="str">
        <x:v>Use as neat stock.</x:v>
      </x:c>
      <x:c r="L181" s="44" t="str">
        <x:v>Identity resolved.</x:v>
      </x:c>
      <x:c r="M181"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PR-E04, PR-E05, PR-E06, PR-E07, PR-E08, PR-E09, PR-L01, PR-L03, PR-L04, PR-N01, PR-N02, PR-N04, PR-N05, PR-N06, PR-N07, PR-N08, PR-N09, PR-N10, PR-N11, PR-N12, PR-N13, PR-N14, S01, S02, S03, S04, S05, S06, S07, S08, Y01, Y02, Y03, Y04, Y05, Y06, Y07, Y08, Y09, Y10, Y11, Y12, Y13, Y14</x:v>
      </x:c>
    </x:row>
    <x:row r="182" ht="45" customHeight="1">
      <x:c r="A182" s="44" t="n">
        <x:v>177</x:v>
      </x:c>
      <x:c r="B182" s="44" t="str">
        <x:v>Rose Absolute 10%</x:v>
      </x:c>
      <x:c r="C182" s="44" t="str">
        <x:v>10% target-required working dilution</x:v>
      </x:c>
      <x:c r="D182" s="46" t="n">
        <x:v>0.1</x:v>
      </x:c>
      <x:c r="E182" s="44" t="str">
        <x:v>TARGET REQUIRED / INVENTORY GAP</x:v>
      </x:c>
      <x:c r="F182" s="44" t="str">
        <x:v>GAP</x:v>
      </x:c>
      <x:c r="G182" s="44" t="str"/>
      <x:c r="H182" s="44" t="str"/>
      <x:c r="I182" s="44" t="str">
        <x:v>Rose Absolute 10%</x:v>
      </x:c>
      <x:c r="J182" s="44" t="str"/>
      <x:c r="K182" s="44" t="str">
        <x:v>Do not substitute silently; target-required material is not in stock.</x:v>
      </x:c>
      <x:c r="L182" s="44" t="str">
        <x:v>No Rose Absolute 10%.</x:v>
      </x:c>
      <x:c r="M182" s="44" t="str">
        <x:v>AM-E05, AM-N05</x:v>
      </x:c>
    </x:row>
    <x:row r="183" ht="45" customHeight="1">
      <x:c r="A183" s="44" t="n">
        <x:v>178</x:v>
      </x:c>
      <x:c r="B183" s="44" t="str">
        <x:v>Rose EO</x:v>
      </x:c>
      <x:c r="C183" s="44" t="str">
        <x:v>neat; verify current stock</x:v>
      </x:c>
      <x:c r="D183" s="46" t="n">
        <x:v>1</x:v>
      </x:c>
      <x:c r="E183" s="44" t="str">
        <x:v>VERIFY LABEL</x:v>
      </x:c>
      <x:c r="F183" s="44" t="str">
        <x:v>DO NOT USE — GENERIC ROSE EO UNCONFIRMED</x:v>
      </x:c>
      <x:c r="G183" s="44" t="str"/>
      <x:c r="H183" s="44" t="str"/>
      <x:c r="I183" s="44" t="str">
        <x:v>Rose EO</x:v>
      </x:c>
      <x:c r="J183" s="44" t="str">
        <x:v>Rose de Mai 10% is not generic Rose EO.</x:v>
      </x:c>
      <x:c r="K183" s="44" t="str">
        <x:v>Hold formulas requiring generic Rose EO.</x:v>
      </x:c>
      <x:c r="L183" s="44" t="str">
        <x:v>Conservative no-use policy applied.</x:v>
      </x:c>
      <x:c r="M183" s="44" t="str">
        <x:v>H01, H02, H03, H04, H06, H07, H10, H11, H12, H13, H14, O06, S01, S02, S03, S07, Y06, Y08</x:v>
      </x:c>
    </x:row>
    <x:row r="184" ht="45" customHeight="1">
      <x:c r="A184" s="44" t="n">
        <x:v>179</x:v>
      </x:c>
      <x:c r="B184" s="44" t="str">
        <x:v>Rose Oxide 1%</x:v>
      </x:c>
      <x:c r="C184" s="44" t="str">
        <x:v>1% working stock</x:v>
      </x:c>
      <x:c r="D184" s="46" t="n">
        <x:v>0.01</x:v>
      </x:c>
      <x:c r="E184" s="44" t="str">
        <x:v>TRACE PREMIX</x:v>
      </x:c>
      <x:c r="F184" s="44" t="str">
        <x:v>HAVE</x:v>
      </x:c>
      <x:c r="G184" s="44" t="str">
        <x:v>1% working stock</x:v>
      </x:c>
      <x:c r="H184" s="44" t="str"/>
      <x:c r="I184" s="44" t="str">
        <x:v>Rose Oxide 1%</x:v>
      </x:c>
      <x:c r="J184" s="44" t="str"/>
      <x:c r="K184" s="44" t="str">
        <x:v>Use only at the listed supplied-stock strength.</x:v>
      </x:c>
      <x:c r="L184" s="44" t="str">
        <x:v>Unchanged from prior register.</x:v>
      </x:c>
      <x:c r="M184" s="44" t="str">
        <x:v>AM-E01, AM-E11, AM-E14, AM-L01, AM-L04, AM-N04, AM-N06, AM-N15, C01, C03, C06, C07, H02, H03, H10, H13, H14, H15, O03, O04, O05, PR-E03, PR-E09, PR-L04, S01, S02, S03, S04, S05, S06, S07, S08, Y01, Y02, Y04, Y06, Y07, Y08, Y09, Y10, Y11, Y12, Y13, Y14</x:v>
      </x:c>
    </x:row>
    <x:row r="185" ht="45" customHeight="1">
      <x:c r="A185" s="44" t="n">
        <x:v>180</x:v>
      </x:c>
      <x:c r="B185" s="44" t="str">
        <x:v>Rosemary EO</x:v>
      </x:c>
      <x:c r="C185" s="44" t="str">
        <x:v>neat / as supplied</x:v>
      </x:c>
      <x:c r="D185" s="46" t="n">
        <x:v>1</x:v>
      </x:c>
      <x:c r="E185" s="44" t="str">
        <x:v>DIRECT</x:v>
      </x:c>
      <x:c r="F185" s="44" t="str">
        <x:v>HAVE</x:v>
      </x:c>
      <x:c r="G185" s="44" t="str">
        <x:v>neat / as supplied</x:v>
      </x:c>
      <x:c r="H185" s="44" t="str"/>
      <x:c r="I185" s="44" t="str">
        <x:v>Rosemary EO</x:v>
      </x:c>
      <x:c r="J185" s="44" t="str"/>
      <x:c r="K185" s="44" t="str">
        <x:v>Use only at the listed supplied-stock strength.</x:v>
      </x:c>
      <x:c r="L185" s="44" t="str">
        <x:v>Unchanged from prior register.</x:v>
      </x:c>
      <x:c r="M185" s="44" t="str">
        <x:v>AM-E01, AM-E02, AM-E03, AM-E04, AM-E05, AM-E06, AM-E07, AM-E08, AM-E09, AM-E10, AM-E11, AM-E12, AM-E13, AM-E14, AM-E15, AM-E16, AM-L01, AM-L02, AM-L03, AM-L04, AM-L05, AM-L06, AM-L07, AM-L08, AM-L09, AM-N01, AM-N02, AM-N03, AM-N04, AM-N05, AM-N06, AM-N07, AM-N08, AM-N09, AM-N10, AM-N11, AM-N12, AM-N13, AM-N14, AM-N15, AM-N16, C05, C07, PR-L01, PR-L02, PR-N01, PR-N02</x:v>
      </x:c>
    </x:row>
    <x:row r="186" ht="45" customHeight="1">
      <x:c r="A186" s="44" t="n">
        <x:v>181</x:v>
      </x:c>
      <x:c r="B186" s="44" t="str">
        <x:v>Rum Accord 10%</x:v>
      </x:c>
      <x:c r="C186" s="44" t="str">
        <x:v>10% target-required accord</x:v>
      </x:c>
      <x:c r="D186" s="46" t="n">
        <x:v>0.1</x:v>
      </x:c>
      <x:c r="E186" s="44" t="str">
        <x:v>TARGET REQUIRED / INVENTORY GAP</x:v>
      </x:c>
      <x:c r="F186" s="44" t="str">
        <x:v>GAP</x:v>
      </x:c>
      <x:c r="G186" s="44" t="str"/>
      <x:c r="H186" s="44" t="str"/>
      <x:c r="I186" s="44" t="str">
        <x:v>Rum Accord 10%</x:v>
      </x:c>
      <x:c r="J186" s="44" t="str"/>
      <x:c r="K186" s="44" t="str">
        <x:v>Do not substitute silently; target-required material is not in stock.</x:v>
      </x:c>
      <x:c r="L186" s="44" t="str">
        <x:v>Unchanged from prior register.</x:v>
      </x:c>
      <x:c r="M186" s="44" t="str">
        <x:v>AM-E01, H05, Y03</x:v>
      </x:c>
    </x:row>
    <x:row r="187" ht="45" customHeight="1">
      <x:c r="A187" s="44" t="n">
        <x:v>182</x:v>
      </x:c>
      <x:c r="B187" s="44" t="str">
        <x:v>Safraleine 10%</x:v>
      </x:c>
      <x:c r="C187" s="44" t="str">
        <x:v>10% working dilution</x:v>
      </x:c>
      <x:c r="D187" s="46" t="n">
        <x:v>0.1</x:v>
      </x:c>
      <x:c r="E187" s="44" t="str">
        <x:v>PREPARED STOCK</x:v>
      </x:c>
      <x:c r="F187" s="44" t="str">
        <x:v>HAVE</x:v>
      </x:c>
      <x:c r="G187" s="44" t="str">
        <x:v>10% working dilution</x:v>
      </x:c>
      <x:c r="H187" s="44" t="str"/>
      <x:c r="I187" s="44" t="str">
        <x:v>Safraleine 10%</x:v>
      </x:c>
      <x:c r="J187" s="44" t="str"/>
      <x:c r="K187" s="44" t="str">
        <x:v>Use only at the listed supplied-stock strength.</x:v>
      </x:c>
      <x:c r="L187" s="44" t="str">
        <x:v>Unchanged from prior register.</x:v>
      </x:c>
      <x:c r="M187" s="44" t="str">
        <x:v>AM-E01, AM-E02, AM-E03, AM-E04, AM-E05, AM-E06, AM-E07, AM-E08, AM-E11, AM-E13, AM-E14, AM-E15, AM-E16, AM-L03, AM-L04, AM-L05, AM-L06, AM-L07, AM-L08, AM-L09, AM-N01, AM-N03, AM-N04, AM-N05, AM-N07, AM-N08, AM-N09, AM-N10, AM-N13, AM-N15, C08, PR-E07, PR-E08, PR-L04, PR-N05, PR-N06, PR-N07, PR-N14</x:v>
      </x:c>
    </x:row>
    <x:row r="188" ht="45" customHeight="1">
      <x:c r="A188" s="44" t="n">
        <x:v>183</x:v>
      </x:c>
      <x:c r="B188" s="44" t="str">
        <x:v>Sandalore</x:v>
      </x:c>
      <x:c r="C188" s="44" t="str">
        <x:v>neat / as supplied</x:v>
      </x:c>
      <x:c r="D188" s="46" t="n">
        <x:v>1</x:v>
      </x:c>
      <x:c r="E188" s="44" t="str">
        <x:v>DIRECT</x:v>
      </x:c>
      <x:c r="F188" s="44" t="str">
        <x:v>HAVE</x:v>
      </x:c>
      <x:c r="G188" s="44" t="str">
        <x:v>neat / as supplied</x:v>
      </x:c>
      <x:c r="H188" s="44" t="str"/>
      <x:c r="I188" s="44" t="str">
        <x:v>Sandalore</x:v>
      </x:c>
      <x:c r="J188" s="44" t="str"/>
      <x:c r="K188" s="44" t="str">
        <x:v>Use only at the listed supplied-stock strength.</x:v>
      </x:c>
      <x:c r="L188" s="44" t="str">
        <x:v>Unchanged from prior register.</x:v>
      </x:c>
      <x:c r="M188"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O02, O03, O04, O06, PR-E01, PR-E02, PR-E04, PR-E05, PR-E08, PR-E09, PR-L01, PR-L02, PR-L04, PR-L05, PR-N01, PR-N02, PR-N03, PR-N04, PR-N05, PR-N06, PR-N07, PR-N08, PR-N12, PR-N13, PR-N14, S01, S02, S03, S04, S05, S06, S07, S08, Y01, Y02, Y03, Y04, Y08</x:v>
      </x:c>
    </x:row>
    <x:row r="189" ht="45" customHeight="1">
      <x:c r="A189" s="44" t="n">
        <x:v>184</x:v>
      </x:c>
      <x:c r="B189" s="44" t="str">
        <x:v>Sandalwood EO</x:v>
      </x:c>
      <x:c r="C189" s="44" t="str">
        <x:v>neat / as supplied; verify stock</x:v>
      </x:c>
      <x:c r="D189" s="46" t="n">
        <x:v>1</x:v>
      </x:c>
      <x:c r="E189" s="44" t="str">
        <x:v>VERIFY LABEL</x:v>
      </x:c>
      <x:c r="F189" s="44" t="str">
        <x:v>HAVE — 10% ONLY</x:v>
      </x:c>
      <x:c r="G189" s="44" t="str">
        <x:v>Sandalwood EO 10% in DPG</x:v>
      </x:c>
      <x:c r="H189" s="44" t="str"/>
      <x:c r="I189" s="44" t="str">
        <x:v>Sandalwood EO</x:v>
      </x:c>
      <x:c r="J189" s="44" t="str"/>
      <x:c r="K189" s="44" t="str">
        <x:v>Do not dose as neat Sandalwood EO.</x:v>
      </x:c>
      <x:c r="L189" s="44" t="str">
        <x:v>Only 10% DPG stock is available.</x:v>
      </x:c>
      <x:c r="M189" s="44" t="str">
        <x:v>C01, C07, C08, PR-L05, PR-N04</x:v>
      </x:c>
    </x:row>
    <x:row r="190" ht="45" customHeight="1">
      <x:c r="A190" s="44" t="n">
        <x:v>185</x:v>
      </x:c>
      <x:c r="B190" s="44" t="str">
        <x:v>Siam Benzoin 50%</x:v>
      </x:c>
      <x:c r="C190" s="44" t="str">
        <x:v>50% working stock</x:v>
      </x:c>
      <x:c r="D190" s="46" t="n">
        <x:v>0.5</x:v>
      </x:c>
      <x:c r="E190" s="44" t="str">
        <x:v>PREPARED STOCK</x:v>
      </x:c>
      <x:c r="F190" s="44" t="str">
        <x:v>HAVE — MULTIPLE BENZOINS</x:v>
      </x:c>
      <x:c r="G190" s="44" t="str">
        <x:v>Siam Benzoin 50% plus Vietnamese Benzoin 20% ethanol tincture</x:v>
      </x:c>
      <x:c r="H190" s="44" t="str"/>
      <x:c r="I190" s="44" t="str">
        <x:v>Siam Benzoin 50%</x:v>
      </x:c>
      <x:c r="J190" s="44" t="str"/>
      <x:c r="K190" s="44" t="str">
        <x:v>Treat each benzoin source and solvent as a separate stock.</x:v>
      </x:c>
      <x:c r="L190" s="44" t="str">
        <x:v>Vietnamese Benzoin tincture added.</x:v>
      </x:c>
      <x:c r="M190" s="44" t="str">
        <x:v>AM-E01, AM-E02, AM-E03, AM-E04, AM-E05, AM-E06, AM-E07, AM-E08, AM-E09, AM-E10, AM-E11, AM-E12, AM-E13, AM-E14, AM-E15, AM-E16, AM-L01, AM-L02, AM-L03, AM-L04, AM-L05, AM-L06, AM-L07, AM-L08, AM-L09, AM-N01, AM-N02, AM-N03, AM-N04, AM-N05, AM-N06, AM-N07, AM-N08, AM-N09, AM-N10, AM-N11, AM-N12, AM-N13, AM-N14, AM-N15, AM-N16, C07, C08, H04, H05, H07, PR-E02, PR-E04, PR-E05, PR-E06, PR-E07, PR-E08, PR-E09, PR-L01, PR-L03, PR-L04, PR-N02, PR-N05, PR-N06, PR-N07, PR-N09, PR-N10, PR-N11, PR-N12, PR-N13, S04, S05, S06, Y03, Y08, Y09, Y11</x:v>
      </x:c>
    </x:row>
    <x:row r="191" ht="45" customHeight="1">
      <x:c r="A191" s="44" t="n">
        <x:v>186</x:v>
      </x:c>
      <x:c r="B191" s="44" t="str">
        <x:v>Spearmint EO</x:v>
      </x:c>
      <x:c r="C191" s="44" t="str">
        <x:v>target-required authentic material</x:v>
      </x:c>
      <x:c r="D191" s="46" t="n">
        <x:v>1</x:v>
      </x:c>
      <x:c r="E191" s="44" t="str">
        <x:v>TARGET REQUIRED / INVENTORY GAP</x:v>
      </x:c>
      <x:c r="F191" s="44" t="str">
        <x:v>GAP — SPEARMINT</x:v>
      </x:c>
      <x:c r="G191" s="44" t="str">
        <x:v>Peppermint EO available as a separate material</x:v>
      </x:c>
      <x:c r="H191" s="44" t="str"/>
      <x:c r="I191" s="44" t="str">
        <x:v>Spearmint EO</x:v>
      </x:c>
      <x:c r="J191" s="44" t="str">
        <x:v>Peppermint EO is not Spearmint EO.</x:v>
      </x:c>
      <x:c r="K191" s="44" t="str">
        <x:v>Keep Spearmint as a gap.</x:v>
      </x:c>
      <x:c r="L191" s="44" t="str">
        <x:v>User has peppermint, not spearmint.</x:v>
      </x:c>
      <x:c r="M191" s="44" t="str">
        <x:v>AM-E08, AM-E11, AM-N02, PR-N01</x:v>
      </x:c>
    </x:row>
    <x:row r="192" ht="45" customHeight="1">
      <x:c r="A192" s="44" t="n">
        <x:v>187</x:v>
      </x:c>
      <x:c r="B192" s="44" t="str">
        <x:v>Suederal 10%</x:v>
      </x:c>
      <x:c r="C192" s="44" t="str">
        <x:v>10% working stock</x:v>
      </x:c>
      <x:c r="D192" s="46" t="n">
        <x:v>0.1</x:v>
      </x:c>
      <x:c r="E192" s="44" t="str">
        <x:v>PREPARED STOCK</x:v>
      </x:c>
      <x:c r="F192" s="44" t="str">
        <x:v>HAVE</x:v>
      </x:c>
      <x:c r="G192" s="44" t="str">
        <x:v>10% working stock</x:v>
      </x:c>
      <x:c r="H192" s="44" t="str"/>
      <x:c r="I192" s="44" t="str">
        <x:v>Suederal 10%</x:v>
      </x:c>
      <x:c r="J192" s="44" t="str"/>
      <x:c r="K192" s="44" t="str">
        <x:v>Use only at the listed supplied-stock strength.</x:v>
      </x:c>
      <x:c r="L192" s="44" t="str">
        <x:v>Unchanged from prior register.</x:v>
      </x:c>
      <x:c r="M192" s="44" t="str">
        <x:v>AM-E01, AM-E02, AM-E03, AM-E04, AM-E06, AM-E07, AM-E08, AM-E11, AM-E13, AM-E14, AM-E15, AM-E16, AM-L03, AM-L04, AM-L05, AM-L06, AM-L07, AM-L08, AM-L09, AM-N01, AM-N03, AM-N05, AM-N07, AM-N08, AM-N09, AM-N13, C08, H01, H04, H06, H07, H08, O02, O04, PR-E02, PR-E07, PR-E08, PR-L01, PR-L04, PR-N05, PR-N06, PR-N07, PR-N14, Y03, Y04, Y07, Y08, Y09, Y11</x:v>
      </x:c>
    </x:row>
    <x:row r="193" ht="45" customHeight="1">
      <x:c r="A193" s="44" t="n">
        <x:v>188</x:v>
      </x:c>
      <x:c r="B193" s="44" t="str">
        <x:v>Timberol</x:v>
      </x:c>
      <x:c r="C193" s="44" t="str">
        <x:v>neat</x:v>
      </x:c>
      <x:c r="D193" s="46" t="n">
        <x:v>1</x:v>
      </x:c>
      <x:c r="E193" s="44" t="str">
        <x:v>DIRECT</x:v>
      </x:c>
      <x:c r="F193" s="44" t="str">
        <x:v>HAVE</x:v>
      </x:c>
      <x:c r="G193" s="44" t="str">
        <x:v>neat</x:v>
      </x:c>
      <x:c r="H193" s="44" t="str"/>
      <x:c r="I193" s="44" t="str">
        <x:v>Timberol</x:v>
      </x:c>
      <x:c r="J193" s="44" t="str"/>
      <x:c r="K193" s="44" t="str">
        <x:v>Use only at the listed supplied-stock strength.</x:v>
      </x:c>
      <x:c r="L193" s="44" t="str">
        <x:v>Unchanged from prior register.</x:v>
      </x:c>
      <x:c r="M193" s="44" t="str">
        <x:v>AM-E01, AM-E02, AM-E03, AM-E04, AM-E05, AM-E06, AM-E07, AM-E08, AM-E09, AM-E10, AM-E11, AM-E12, AM-E13, AM-E14, AM-E15, AM-E16, AM-L01, AM-L02, AM-L03, AM-L04, AM-L05, AM-L06, AM-L07, AM-L08, AM-L09, AM-N01, AM-N02, AM-N03, AM-N04, AM-N05, AM-N06, AM-N07, AM-N08, AM-N09, AM-N10, AM-N11, AM-N12, AM-N13, AM-N14, AM-N15, AM-N16, C07, C08, PR-E03, PR-E06, PR-N01, PR-N09, Y01, Y08</x:v>
      </x:c>
    </x:row>
    <x:row r="194" ht="45" customHeight="1">
      <x:c r="A194" s="44" t="n">
        <x:v>189</x:v>
      </x:c>
      <x:c r="B194" s="44" t="str">
        <x:v>Tobacco Absolute 10%</x:v>
      </x:c>
      <x:c r="C194" s="44" t="str">
        <x:v>10% in DPG</x:v>
      </x:c>
      <x:c r="D194" s="46" t="n">
        <x:v>0.1</x:v>
      </x:c>
      <x:c r="E194" s="44" t="str">
        <x:v>PREPARED STOCK</x:v>
      </x:c>
      <x:c r="F194" s="44" t="str">
        <x:v>HAVE</x:v>
      </x:c>
      <x:c r="G194" s="44" t="str">
        <x:v>10% in DPG</x:v>
      </x:c>
      <x:c r="H194" s="44" t="str"/>
      <x:c r="I194" s="44" t="str">
        <x:v>Tobacco Absolute 10%</x:v>
      </x:c>
      <x:c r="J194" s="44" t="str"/>
      <x:c r="K194" s="44" t="str">
        <x:v>Use only at the listed supplied-stock strength.</x:v>
      </x:c>
      <x:c r="L194" s="44" t="str">
        <x:v>Unchanged from prior register.</x:v>
      </x:c>
      <x:c r="M194" s="44" t="str">
        <x:v>AM-E02, AM-E03, AM-E04, AM-E05, AM-E06, AM-E07, AM-E08, AM-E12, AM-E13, AM-E15, AM-L02, AM-L03, AM-L04, AM-L05, AM-L06, AM-L07, AM-L08, AM-L09, AM-N03, AM-N05, AM-N08, AM-N09, AM-N11, AM-N13, AM-N15, AM-N16, H04, PR-E02, PR-N02, PR-N07, PR-N12, PR-N13, S04, S06, Y10</x:v>
      </x:c>
    </x:row>
    <x:row r="195" ht="45" customHeight="1">
      <x:c r="A195" s="44" t="n">
        <x:v>190</x:v>
      </x:c>
      <x:c r="B195" s="44" t="str">
        <x:v>Tonalide 10%</x:v>
      </x:c>
      <x:c r="C195" s="44" t="str">
        <x:v>10% in DPG</x:v>
      </x:c>
      <x:c r="D195" s="46" t="n">
        <x:v>0.1</x:v>
      </x:c>
      <x:c r="E195" s="44" t="str">
        <x:v>PREPARED STOCK</x:v>
      </x:c>
      <x:c r="F195" s="44" t="str">
        <x:v>HAVE</x:v>
      </x:c>
      <x:c r="G195" s="44" t="str">
        <x:v>10% in DPG</x:v>
      </x:c>
      <x:c r="H195" s="44" t="str"/>
      <x:c r="I195" s="44" t="str">
        <x:v>Tonalide 10%</x:v>
      </x:c>
      <x:c r="J195" s="44" t="str"/>
      <x:c r="K195" s="44" t="str">
        <x:v>Use only at the listed supplied-stock strength.</x:v>
      </x:c>
      <x:c r="L195" s="44" t="str">
        <x:v>Unchanged from prior register.</x:v>
      </x:c>
      <x:c r="M195" s="44" t="str">
        <x:v>AM-E01, AM-E02, AM-E03, AM-E04, AM-E05, AM-E06, AM-E07, AM-E08, AM-E09, AM-E10, AM-E11, AM-E12, AM-E13, AM-E14, AM-E15, AM-E16, AM-L01, AM-L02, AM-L03, AM-L04, AM-L05, AM-L06, AM-L07, AM-L08, AM-L09, AM-N01, AM-N02, AM-N03, AM-N04, AM-N05, AM-N06, AM-N07, AM-N08, AM-N09, AM-N10, AM-N11, AM-N12, AM-N13, AM-N15, AM-N16, C01, C07, C08, H01, H02, H03, H04, H05, H06, H07, H08, H10, H11, H12, H13, H14, H15, PR-E05, PR-E08, PR-L01, PR-L04, PR-N02, PR-N05, PR-N06, PR-N09, PR-N12, PR-N14, S01, S02, S03, S04, S05, S06, S07, S08, Y01, Y08, Y12</x:v>
      </x:c>
    </x:row>
    <x:row r="196" ht="45" customHeight="1">
      <x:c r="A196" s="44" t="n">
        <x:v>191</x:v>
      </x:c>
      <x:c r="B196" s="44" t="str">
        <x:v>Tonka Bean Absolute 10%</x:v>
      </x:c>
      <x:c r="C196" s="44" t="str">
        <x:v>10% working stock</x:v>
      </x:c>
      <x:c r="D196" s="46" t="n">
        <x:v>0.1</x:v>
      </x:c>
      <x:c r="E196" s="44" t="str">
        <x:v>PREPARED STOCK</x:v>
      </x:c>
      <x:c r="F196" s="44" t="str">
        <x:v>HAVE</x:v>
      </x:c>
      <x:c r="G196" s="44" t="str">
        <x:v>10% working stock</x:v>
      </x:c>
      <x:c r="H196" s="44" t="str"/>
      <x:c r="I196" s="44" t="str">
        <x:v>Tonka Bean Absolute 10%</x:v>
      </x:c>
      <x:c r="J196" s="44" t="str"/>
      <x:c r="K196" s="44" t="str">
        <x:v>Use only at the listed supplied-stock strength.</x:v>
      </x:c>
      <x:c r="L196" s="44" t="str">
        <x:v>Unchanged from prior register.</x:v>
      </x:c>
      <x:c r="M196" s="44" t="str">
        <x:v>AM-E02, AM-E03, AM-E04, AM-E05, AM-E06, AM-E07, AM-E08, AM-E10, AM-E11, AM-E12, AM-E13, AM-E14, AM-E15, AM-L02, AM-L03, AM-L04, AM-L05, AM-L06, AM-L08, AM-L09, AM-N01, AM-N02, AM-N04, AM-N05, AM-N06, AM-N08, AM-N09, AM-N10, AM-N11, AM-N12, AM-N13, AM-N14, AM-N15, AM-N16, C01, C02, C03, C04, C05, C06, C07, C08, H06, H13, O01, O02, O03, O05, PR-E01, PR-E02, PR-E05, PR-L01, PR-N02, PR-N05, S05, S06, Y01, Y02, Y03, Y04, Y05, Y06, Y07, Y08, Y09, Y10, Y11, Y12, Y13, Y14</x:v>
      </x:c>
    </x:row>
    <x:row r="197" ht="45" customHeight="1">
      <x:c r="A197" s="44" t="n">
        <x:v>192</x:v>
      </x:c>
      <x:c r="B197" s="44" t="str">
        <x:v>Turkish Storax Tincture</x:v>
      </x:c>
      <x:c r="C197" s="44" t="str">
        <x:v>10 g resin + 40 g ethanol; product basis</x:v>
      </x:c>
      <x:c r="D197" s="46"/>
      <x:c r="E197" s="44" t="str">
        <x:v>PRODUCT BASIS</x:v>
      </x:c>
      <x:c r="F197" s="44" t="str">
        <x:v>HAVE — CANONICAL</x:v>
      </x:c>
      <x:c r="G197" s="44" t="str">
        <x:v>Turkish Storax Tincture: 10 g resin + 40 g ethanol</x:v>
      </x:c>
      <x:c r="H197" s="44" t="str"/>
      <x:c r="I197" s="44" t="str">
        <x:v>Turkish Storax Tincture</x:v>
      </x:c>
      <x:c r="J197" s="44" t="str"/>
      <x:c r="K197" s="44" t="str">
        <x:v>Canonical record for items 192/193.</x:v>
      </x:c>
      <x:c r="L197" s="44" t="str">
        <x:v>Items 192 and 193 are the same.</x:v>
      </x:c>
      <x:c r="M197" s="44" t="str">
        <x:v>AM-E01, AM-E02, AM-E03, AM-E04, AM-E05, AM-E06, AM-E07, AM-E08, AM-E10, AM-E11, AM-E12, AM-E13, AM-E14, AM-E15, AM-E16, AM-L03, AM-L04, AM-L05, AM-L06, AM-L07, AM-L08, AM-L09, AM-N01, AM-N02, AM-N03, AM-N04, AM-N05, AM-N07, AM-N08, AM-N09, AM-N10, AM-N11, AM-N12, AM-N13, AM-N15, AM-N16, C08, O04, O05, PR-E08, PR-N05, PR-N07, PR-N09, Y09, Y11</x:v>
      </x:c>
    </x:row>
    <x:row r="198" ht="45" customHeight="1">
      <x:c r="A198" s="44" t="n">
        <x:v>193</x:v>
      </x:c>
      <x:c r="B198" s="44" t="str">
        <x:v>Turkish Storax Tincture 20% nominal</x:v>
      </x:c>
      <x:c r="C198" s="44" t="str">
        <x:v>10 g resin + 40 g ethanol; nominal 20% starting resin</x:v>
      </x:c>
      <x:c r="D198" s="46"/>
      <x:c r="E198" s="44" t="str">
        <x:v>NOMINAL TINCTURE</x:v>
      </x:c>
      <x:c r="F198" s="44" t="str">
        <x:v>DUPLICATE / DELETE</x:v>
      </x:c>
      <x:c r="G198" s="44" t="str">
        <x:v>Same as item 192</x:v>
      </x:c>
      <x:c r="H198" s="44" t="str"/>
      <x:c r="I198" s="44" t="str">
        <x:v>Turkish Storax Tincture</x:v>
      </x:c>
      <x:c r="J198" s="44" t="str">
        <x:v>Merge with item 192.</x:v>
      </x:c>
      <x:c r="K198" s="44" t="str">
        <x:v>Use only at the listed supplied-stock strength.</x:v>
      </x:c>
      <x:c r="L198" s="44" t="str">
        <x:v>Duplicate nominal-description row.</x:v>
      </x:c>
      <x:c r="M198" s="44" t="str">
        <x:v>PR-E02, Y09</x:v>
      </x:c>
    </x:row>
    <x:row r="199" ht="45" customHeight="1">
      <x:c r="A199" s="44" t="n">
        <x:v>194</x:v>
      </x:c>
      <x:c r="B199" s="44" t="str">
        <x:v>Ultralia</x:v>
      </x:c>
      <x:c r="C199" s="44" t="str">
        <x:v>neat</x:v>
      </x:c>
      <x:c r="D199" s="46" t="n">
        <x:v>1</x:v>
      </x:c>
      <x:c r="E199" s="44" t="str">
        <x:v>DIRECT</x:v>
      </x:c>
      <x:c r="F199" s="44" t="str">
        <x:v>HAVE</x:v>
      </x:c>
      <x:c r="G199" s="44" t="str">
        <x:v>neat</x:v>
      </x:c>
      <x:c r="H199" s="44" t="str"/>
      <x:c r="I199" s="44" t="str">
        <x:v>Ultralia</x:v>
      </x:c>
      <x:c r="J199" s="44" t="str"/>
      <x:c r="K199" s="44" t="str">
        <x:v>Use only at the listed supplied-stock strength.</x:v>
      </x:c>
      <x:c r="L199" s="44" t="str">
        <x:v>Unchanged from prior register.</x:v>
      </x:c>
      <x:c r="M199" s="44" t="str">
        <x:v>AM-E01, AM-E02, AM-E05, AM-E06, AM-E08, AM-E09, AM-E10, AM-L01, AM-L04, AM-L05, AM-L07, AM-L08, AM-L09, AM-N01, AM-N04, AM-N05, AM-N06, AM-N08, AM-N12, AM-N13, AM-N16, H01, H02, H04, H05, H06, H07, H08, O01, O02, O04, PR-E01, PR-E02, PR-L03, PR-L04, PR-L05, PR-N02, PR-N04, PR-N11, Y01</x:v>
      </x:c>
    </x:row>
    <x:row r="200" ht="45" customHeight="1">
      <x:c r="A200" s="44" t="n">
        <x:v>195</x:v>
      </x:c>
      <x:c r="B200" s="44" t="str">
        <x:v>Undecavertol 1%</x:v>
      </x:c>
      <x:c r="C200" s="44" t="str">
        <x:v>1% working stock</x:v>
      </x:c>
      <x:c r="D200" s="46" t="n">
        <x:v>0.01</x:v>
      </x:c>
      <x:c r="E200" s="44" t="str">
        <x:v>TRACE PREMIX</x:v>
      </x:c>
      <x:c r="F200" s="44" t="str">
        <x:v>HAVE</x:v>
      </x:c>
      <x:c r="G200" s="44" t="str">
        <x:v>1% working stock</x:v>
      </x:c>
      <x:c r="H200" s="44" t="str"/>
      <x:c r="I200" s="44" t="str">
        <x:v>Undecavertol 1%</x:v>
      </x:c>
      <x:c r="J200" s="44" t="str"/>
      <x:c r="K200" s="44" t="str">
        <x:v>Use only at the listed supplied-stock strength.</x:v>
      </x:c>
      <x:c r="L200" s="44" t="str">
        <x:v>Unchanged from prior register.</x:v>
      </x:c>
      <x:c r="M200" s="44" t="str">
        <x:v>C01, C03, C04, C06, O04, Y07, Y09, Y10, Y11, Y12, Y13, Y14</x:v>
      </x:c>
    </x:row>
    <x:row r="201" ht="45" customHeight="1">
      <x:c r="A201" s="44" t="n">
        <x:v>196</x:v>
      </x:c>
      <x:c r="B201" s="44" t="str">
        <x:v>Vanillin 10%</x:v>
      </x:c>
      <x:c r="C201" s="44" t="str">
        <x:v>10% working stock</x:v>
      </x:c>
      <x:c r="D201" s="46" t="n">
        <x:v>0.1</x:v>
      </x:c>
      <x:c r="E201" s="44" t="str">
        <x:v>PREPARED STOCK</x:v>
      </x:c>
      <x:c r="F201" s="44" t="str">
        <x:v>HAVE</x:v>
      </x:c>
      <x:c r="G201" s="44" t="str">
        <x:v>10% working stock</x:v>
      </x:c>
      <x:c r="H201" s="44" t="str"/>
      <x:c r="I201" s="44" t="str">
        <x:v>Vanillin 10%</x:v>
      </x:c>
      <x:c r="J201" s="44" t="str"/>
      <x:c r="K201" s="44" t="str">
        <x:v>Use only at the listed supplied-stock strength.</x:v>
      </x:c>
      <x:c r="L201" s="44" t="str">
        <x:v>Unchanged from prior register.</x:v>
      </x:c>
      <x:c r="M201" s="44" t="str">
        <x:v>AM-E01, AM-E02, AM-E03, AM-E04, AM-E05, AM-E06, AM-E07, AM-E08, AM-E10, AM-E11, AM-E12, AM-E13, AM-E14, AM-E15, AM-E16, AM-L02, AM-L03, AM-L04, AM-L05, AM-L06, AM-L07, AM-L08, AM-L09, AM-N01, AM-N02, AM-N04, AM-N05, AM-N06, AM-N08, AM-N09, AM-N10, AM-N11, AM-N12, AM-N13, AM-N14, AM-N15, AM-N16, C01, C02, C05, C07, C08, H01, H04, H05, H06, H07, H08, H13, O04, O05, O06, PR-E02, PR-E04, PR-E05, PR-E06, PR-E08, PR-E09, PR-L01, PR-L04, PR-N02, PR-N05, PR-N06, PR-N07, PR-N12, PR-N13, S04, S05, S06, Y01, Y02, Y08, Y09, Y10, Y11, Y13</x:v>
      </x:c>
    </x:row>
    <x:row r="202" ht="45" customHeight="1">
      <x:c r="A202" s="44" t="n">
        <x:v>197</x:v>
      </x:c>
      <x:c r="B202" s="44" t="str">
        <x:v>Verdox</x:v>
      </x:c>
      <x:c r="C202" s="44" t="str">
        <x:v>neat / as supplied</x:v>
      </x:c>
      <x:c r="D202" s="46" t="n">
        <x:v>1</x:v>
      </x:c>
      <x:c r="E202" s="44" t="str">
        <x:v>DIRECT</x:v>
      </x:c>
      <x:c r="F202" s="44" t="str">
        <x:v>HAVE</x:v>
      </x:c>
      <x:c r="G202" s="44" t="str">
        <x:v>neat / as supplied</x:v>
      </x:c>
      <x:c r="H202" s="44" t="str"/>
      <x:c r="I202" s="44" t="str">
        <x:v>Verdox</x:v>
      </x:c>
      <x:c r="J202" s="44" t="str"/>
      <x:c r="K202" s="44" t="str">
        <x:v>Use only at the listed supplied-stock strength.</x:v>
      </x:c>
      <x:c r="L202" s="44" t="str">
        <x:v>Unchanged from prior register.</x:v>
      </x:c>
      <x:c r="M202" s="44" t="str">
        <x:v>O06, Y02, Y13</x:v>
      </x:c>
    </x:row>
    <x:row r="203" ht="45" customHeight="1">
      <x:c r="A203" s="44" t="n">
        <x:v>198</x:v>
      </x:c>
      <x:c r="B203" s="44" t="str">
        <x:v>Vertofix</x:v>
      </x:c>
      <x:c r="C203" s="44" t="str">
        <x:v>neat / as supplied</x:v>
      </x:c>
      <x:c r="D203" s="46" t="n">
        <x:v>1</x:v>
      </x:c>
      <x:c r="E203" s="44" t="str">
        <x:v>DIRECT</x:v>
      </x:c>
      <x:c r="F203" s="44" t="str">
        <x:v>HAVE</x:v>
      </x:c>
      <x:c r="G203" s="44" t="str">
        <x:v>neat / as supplied</x:v>
      </x:c>
      <x:c r="H203" s="44" t="str"/>
      <x:c r="I203" s="44" t="str">
        <x:v>Vertofix</x:v>
      </x:c>
      <x:c r="J203" s="44" t="str"/>
      <x:c r="K203" s="44" t="str">
        <x:v>Use only at the listed supplied-stock strength.</x:v>
      </x:c>
      <x:c r="L203" s="44" t="str">
        <x:v>Unchanged from prior register.</x:v>
      </x:c>
      <x:c r="M203"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C08, H01, H02, H03, H04, H05, H06, H07, H08, H10, H11, H12, H13, H14, H15, O01, O02, O03, O05, O06, PR-E01, PR-E02, PR-E04, PR-E05, PR-E07, PR-N01, PR-N02, PR-N03, PR-N07, PR-N08, S01, S02, S03, S04, S05, S06, S07, S08, Y02, Y03, Y04, Y05, Y06, Y07, Y10, Y12, Y13, Y14</x:v>
      </x:c>
    </x:row>
    <x:row r="204" ht="45" customHeight="1">
      <x:c r="A204" s="44" t="n">
        <x:v>199</x:v>
      </x:c>
      <x:c r="B204" s="44" t="str">
        <x:v>Vetival</x:v>
      </x:c>
      <x:c r="C204" s="44" t="str">
        <x:v>neat</x:v>
      </x:c>
      <x:c r="D204" s="46" t="n">
        <x:v>1</x:v>
      </x:c>
      <x:c r="E204" s="44" t="str">
        <x:v>DIRECT</x:v>
      </x:c>
      <x:c r="F204" s="44" t="str">
        <x:v>HAVE</x:v>
      </x:c>
      <x:c r="G204" s="44" t="str">
        <x:v>neat</x:v>
      </x:c>
      <x:c r="H204" s="44" t="str"/>
      <x:c r="I204" s="44" t="str">
        <x:v>Vetival</x:v>
      </x:c>
      <x:c r="J204" s="44" t="str"/>
      <x:c r="K204" s="44" t="str">
        <x:v>Use only at the listed supplied-stock strength.</x:v>
      </x:c>
      <x:c r="L204" s="44" t="str">
        <x:v>Unchanged from prior register.</x:v>
      </x:c>
      <x:c r="M204" s="44" t="str">
        <x:v>AM-E01, AM-E02, AM-E03, AM-E04, AM-E05, AM-E06, AM-E07, AM-E08, AM-E09, AM-E10, AM-E11, AM-E12, AM-E13, AM-E14, AM-E15, AM-E16, AM-L01, AM-L02, AM-L03, AM-L04, AM-L05, AM-L06, AM-L07, AM-L08, AM-L09, AM-N01, AM-N02, AM-N03, AM-N04, AM-N05, AM-N06, AM-N07, AM-N08, AM-N09, AM-N10, AM-N11, AM-N12, AM-N13, AM-N14, AM-N15, AM-N16, C07, C08, H01, H02, H03, H04, H05, H06, H07, H08, H10, H11, H12, H13, H14, H15, O03, O06, PR-E04, PR-E05, PR-E07, PR-L02, PR-L03, PR-N02, PR-N03, PR-N04, PR-N07, PR-N08, PR-N10, PR-N14, S01, S02, S03, S04, S05, S06, S07, S08, Y01, Y02, Y08, Y12</x:v>
      </x:c>
    </x:row>
    <x:row r="205" ht="45" customHeight="1">
      <x:c r="A205" s="44" t="n">
        <x:v>200</x:v>
      </x:c>
      <x:c r="B205" s="44" t="str">
        <x:v>Vetiver EO</x:v>
      </x:c>
      <x:c r="C205" s="44" t="str">
        <x:v>neat / as supplied</x:v>
      </x:c>
      <x:c r="D205" s="46" t="n">
        <x:v>1</x:v>
      </x:c>
      <x:c r="E205" s="44" t="str">
        <x:v>DIRECT</x:v>
      </x:c>
      <x:c r="F205" s="44" t="str">
        <x:v>HAVE</x:v>
      </x:c>
      <x:c r="G205" s="44" t="str">
        <x:v>neat / as supplied</x:v>
      </x:c>
      <x:c r="H205" s="44" t="str"/>
      <x:c r="I205" s="44" t="str">
        <x:v>Vetiver EO</x:v>
      </x:c>
      <x:c r="J205" s="44" t="str"/>
      <x:c r="K205" s="44" t="str">
        <x:v>Use only at the listed supplied-stock strength.</x:v>
      </x:c>
      <x:c r="L205" s="44" t="str">
        <x:v>Unchanged from prior register.</x:v>
      </x:c>
      <x:c r="M205"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C08, H01, H02, H03, H04, H05, H06, H07, H08, H09, H10, H11, H12, H13, H14, H15, O01, O02, O03, O04, O05, O06, PR-E01, PR-L03, PR-N01, PR-N03, PR-N14, S01, S02, S03, S04, S05, S06, S07, S08, Y01, Y02, Y03, Y04, Y05, Y06, Y07, Y08, Y09, Y10, Y11, Y12, Y13, Y14</x:v>
      </x:c>
    </x:row>
    <x:row r="206" ht="45" customHeight="1">
      <x:c r="A206" s="44" t="n">
        <x:v>201</x:v>
      </x:c>
      <x:c r="B206" s="44" t="str">
        <x:v>Vietnamese Benzoin Tincture</x:v>
      </x:c>
      <x:c r="C206" s="44" t="str">
        <x:v>10 g resin + 40 g ethanol; product basis</x:v>
      </x:c>
      <x:c r="D206" s="46"/>
      <x:c r="E206" s="44" t="str">
        <x:v>PRODUCT BASIS</x:v>
      </x:c>
      <x:c r="F206" s="44" t="str">
        <x:v>HAVE</x:v>
      </x:c>
      <x:c r="G206" s="44" t="str">
        <x:v>10 g resin + 40 g ethanol; product basis</x:v>
      </x:c>
      <x:c r="H206" s="44" t="str"/>
      <x:c r="I206" s="44" t="str">
        <x:v>Vietnamese Benzoin Tincture</x:v>
      </x:c>
      <x:c r="J206" s="44" t="str"/>
      <x:c r="K206" s="44" t="str">
        <x:v>Use only at the listed supplied-stock strength.</x:v>
      </x:c>
      <x:c r="L206" s="44" t="str">
        <x:v>Unchanged from prior register.</x:v>
      </x:c>
      <x:c r="M206" s="44" t="str">
        <x:v>AM-E01, AM-E02, AM-E03, AM-E04, AM-E05, AM-E06, AM-E07, AM-E08, AM-E10, AM-E11, AM-E12, AM-E13, AM-E14, AM-E15, AM-E16, AM-L02, AM-L03, AM-L04, AM-L05, AM-L06, AM-L08, AM-L09, AM-N01, AM-N02, AM-N04, AM-N05, AM-N06, AM-N07, AM-N08, AM-N09, AM-N10, AM-N11, AM-N12, AM-N13, AM-N14, AM-N15, AM-N16, C08, O05, O06</x:v>
      </x:c>
    </x:row>
    <x:row r="207" ht="45" customHeight="1">
      <x:c r="A207" s="44" t="n">
        <x:v>202</x:v>
      </x:c>
      <x:c r="B207" s="44" t="str">
        <x:v>Violet Leaf Absolute 10%</x:v>
      </x:c>
      <x:c r="C207" s="44" t="str">
        <x:v>10% working stock</x:v>
      </x:c>
      <x:c r="D207" s="46" t="n">
        <x:v>0.1</x:v>
      </x:c>
      <x:c r="E207" s="44" t="str">
        <x:v>PREPARED STOCK</x:v>
      </x:c>
      <x:c r="F207" s="44" t="str">
        <x:v>HAVE</x:v>
      </x:c>
      <x:c r="G207" s="44" t="str">
        <x:v>10% working stock</x:v>
      </x:c>
      <x:c r="H207" s="44" t="str"/>
      <x:c r="I207" s="44" t="str">
        <x:v>Violet Leaf Absolute 10%</x:v>
      </x:c>
      <x:c r="J207" s="44" t="str"/>
      <x:c r="K207" s="44" t="str">
        <x:v>Use only at the listed supplied-stock strength.</x:v>
      </x:c>
      <x:c r="L207" s="44" t="str">
        <x:v>Unchanged from prior register.</x:v>
      </x:c>
      <x:c r="M207" s="44" t="str">
        <x:v>AM-E01, AM-E03, AM-E04, AM-E06, AM-E08, AM-E09, AM-E10, AM-E11, AM-E13, AM-L01, AM-L02, AM-L03, AM-L05, AM-L07, AM-L09, AM-N01, AM-N02, AM-N03, AM-N06, AM-N07, AM-N10, AM-N12, AM-N13, AM-N14, AM-N15, AM-N16, C07, H01, H02, H04, H05, H06, H07, H08, H13, H14, O01, O02, O04, O06, PR-E01, PR-E07, PR-N02, S01, S02, S03, Y01, Y02, Y03, Y04, Y05, Y06, Y07, Y08, Y09, Y11</x:v>
      </x:c>
    </x:row>
    <x:row r="208" ht="45" customHeight="1">
      <x:c r="A208" s="44" t="n">
        <x:v>203</x:v>
      </x:c>
      <x:c r="B208" s="44" t="str">
        <x:v>White Pepper Accord 10%</x:v>
      </x:c>
      <x:c r="C208" s="44" t="str">
        <x:v>10% functional accord in DPG</x:v>
      </x:c>
      <x:c r="D208" s="46" t="n">
        <x:v>0.1</x:v>
      </x:c>
      <x:c r="E208" s="44" t="str">
        <x:v>PREPARED STOCK</x:v>
      </x:c>
      <x:c r="F208" s="44" t="str">
        <x:v>GAP</x:v>
      </x:c>
      <x:c r="G208" s="44" t="str">
        <x:v>Black Pepper EO only</x:v>
      </x:c>
      <x:c r="H208" s="44" t="str"/>
      <x:c r="I208" s="44" t="str">
        <x:v>White Pepper Accord 10%</x:v>
      </x:c>
      <x:c r="J208" s="44" t="str">
        <x:v>Black pepper does not replace White Pepper Accord automatically.</x:v>
      </x:c>
      <x:c r="K208" s="44" t="str">
        <x:v>Use only at the listed supplied-stock strength.</x:v>
      </x:c>
      <x:c r="L208" s="44" t="str">
        <x:v>No White Pepper Accord.</x:v>
      </x:c>
      <x:c r="M208" s="44" t="str">
        <x:v>PR-L04, S02, Y01</x:v>
      </x:c>
    </x:row>
    <x:row r="209" ht="45" customHeight="1">
      <x:c r="A209" s="44" t="n">
        <x:v>204</x:v>
      </x:c>
      <x:c r="B209" s="44" t="str">
        <x:v>White Pepper EO / CO2</x:v>
      </x:c>
      <x:c r="C209" s="44" t="str">
        <x:v>target-required authentic material</x:v>
      </x:c>
      <x:c r="D209" s="46" t="n">
        <x:v>1</x:v>
      </x:c>
      <x:c r="E209" s="44" t="str">
        <x:v>TARGET REQUIRED / INVENTORY GAP</x:v>
      </x:c>
      <x:c r="F209" s="44" t="str">
        <x:v>GAP</x:v>
      </x:c>
      <x:c r="G209" s="44" t="str">
        <x:v>Black Pepper EO only</x:v>
      </x:c>
      <x:c r="H209" s="44" t="str"/>
      <x:c r="I209" s="44" t="str">
        <x:v>White Pepper EO / CO2</x:v>
      </x:c>
      <x:c r="J209" s="44" t="str">
        <x:v>Black pepper does not equal White Pepper EO/CO2.</x:v>
      </x:c>
      <x:c r="K209" s="44" t="str">
        <x:v>Do not substitute silently; target-required material is not in stock.</x:v>
      </x:c>
      <x:c r="L209" s="44" t="str">
        <x:v>No White Pepper EO/CO2.</x:v>
      </x:c>
      <x:c r="M209" s="44" t="str">
        <x:v>H13, H14, PR-L04, S02, Y07, Y09</x:v>
      </x:c>
    </x:row>
    <x:row r="210" ht="45" customHeight="1">
      <x:c r="A210" s="44" t="n">
        <x:v>205</x:v>
      </x:c>
      <x:c r="B210" s="44" t="str">
        <x:v>Wormwood / Absinthe EO 10%</x:v>
      </x:c>
      <x:c r="C210" s="44" t="str">
        <x:v>10% target-required working dilution</x:v>
      </x:c>
      <x:c r="D210" s="46" t="n">
        <x:v>0.1</x:v>
      </x:c>
      <x:c r="E210" s="44" t="str">
        <x:v>TARGET REQUIRED / INVENTORY GAP</x:v>
      </x:c>
      <x:c r="F210" s="44" t="str">
        <x:v>GAP</x:v>
      </x:c>
      <x:c r="G210" s="44" t="str"/>
      <x:c r="H210" s="44" t="str"/>
      <x:c r="I210" s="44" t="str">
        <x:v>Wormwood / Absinthe EO 10%</x:v>
      </x:c>
      <x:c r="J210" s="44" t="str"/>
      <x:c r="K210" s="44" t="str">
        <x:v>Do not substitute silently; target-required material is not in stock.</x:v>
      </x:c>
      <x:c r="L210" s="44" t="str">
        <x:v>Unchanged from prior register.</x:v>
      </x:c>
      <x:c r="M210" s="44" t="str">
        <x:v>AM-E08</x:v>
      </x:c>
    </x:row>
    <x:row r="211" ht="45" customHeight="1">
      <x:c r="A211" s="44" t="n">
        <x:v>206</x:v>
      </x:c>
      <x:c r="B211" s="44" t="str">
        <x:v>Ylang-Ylang EO</x:v>
      </x:c>
      <x:c r="C211" s="44" t="str">
        <x:v>target-required authentic material</x:v>
      </x:c>
      <x:c r="D211" s="46" t="n">
        <x:v>1</x:v>
      </x:c>
      <x:c r="E211" s="44" t="str">
        <x:v>TARGET REQUIRED / INVENTORY GAP</x:v>
      </x:c>
      <x:c r="F211" s="44" t="str">
        <x:v>HAVE — TWO STOCKS</x:v>
      </x:c>
      <x:c r="G211" s="44" t="str">
        <x:v>Ylang-Ylang Comoros Complete EO and Ylang-Ylang Comoros III EO</x:v>
      </x:c>
      <x:c r="H211" s="44" t="str"/>
      <x:c r="I211" s="44" t="str">
        <x:v>Ylang-Ylang EO</x:v>
      </x:c>
      <x:c r="J211" s="44" t="str"/>
      <x:c r="K211" s="44" t="str">
        <x:v>Formula must specify Complete or III.</x:v>
      </x:c>
      <x:c r="L211" s="44" t="str">
        <x:v>Both Comoros grades are available.</x:v>
      </x:c>
      <x:c r="M211" s="44" t="str">
        <x:v>AM-E05, AM-N05, PR-N14</x:v>
      </x:c>
    </x:row>
    <x:row r="212" ht="45" customHeight="1">
      <x:c r="A212" s="44" t="n">
        <x:v>207</x:v>
      </x:c>
      <x:c r="B212" s="44" t="str">
        <x:v>Zenolide</x:v>
      </x:c>
      <x:c r="C212" s="44" t="str">
        <x:v>neat / as supplied</x:v>
      </x:c>
      <x:c r="D212" s="46" t="n">
        <x:v>1</x:v>
      </x:c>
      <x:c r="E212" s="44" t="str">
        <x:v>DIRECT</x:v>
      </x:c>
      <x:c r="F212" s="44" t="str">
        <x:v>HAVE</x:v>
      </x:c>
      <x:c r="G212" s="44" t="str">
        <x:v>neat / as supplied</x:v>
      </x:c>
      <x:c r="H212" s="44" t="str"/>
      <x:c r="I212" s="44" t="str">
        <x:v>Zenolide</x:v>
      </x:c>
      <x:c r="J212" s="44" t="str"/>
      <x:c r="K212" s="44" t="str">
        <x:v>Use only at the listed supplied-stock strength.</x:v>
      </x:c>
      <x:c r="L212" s="44" t="str">
        <x:v>Unchanged from prior register.</x:v>
      </x:c>
      <x:c r="M212"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PR-E03, PR-E04, PR-E06, PR-E09, PR-L02, PR-L03, PR-L05, PR-N01, PR-N02, PR-N03, PR-N04, PR-N08, PR-N09, PR-N10, PR-N11, PR-N12, PR-N13, S01, S02, S03, S04, S05, S06, S07, S08, Y01, Y02, Y03, Y04, Y05, Y06, Y07, Y08, Y09, Y10, Y11, Y12, Y13, Y14</x:v>
      </x:c>
    </x:row>
  </x:sheetData>
  <x:mergeCells>
    <x:mergeCell ref="A1:M1"/>
    <x:mergeCell ref="A2:M3"/>
  </x:mergeCells>
  <x:conditionalFormatting sqref="F6:F212">
    <x:cfRule type="expression" dxfId="9" priority="1">
      <x:formula>LEFT(F6,4)="HAVE"</x:formula>
    </x:cfRule>
    <x:cfRule type="expression" dxfId="10" priority="2">
      <x:formula>OR(ISNUMBER(SEARCH("GAP",F6)),ISNUMBER(SEARCH("OUT",F6)))</x:formula>
    </x:cfRule>
    <x:cfRule type="expression" dxfId="11" priority="3">
      <x:formula>ISNUMBER(SEARCH("BANNED",F6))</x:formula>
    </x:cfRule>
    <x:cfRule type="expression" dxfId="12" priority="4">
      <x:formula>OR(ISNUMBER(SEARCH("VERIFY",F6)),ISNUMBER(SEARCH("UNSURE",F6)),ISNUMBER(SEARCH("CUSTOM",F6)))</x:formula>
    </x:cfRule>
    <x:cfRule type="expression" dxfId="13" priority="5">
      <x:formula>ISNUMBER(SEARCH("DUPLICATE",F6))</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29" hidden="0" customWidth="1"/>
    <x:col min="2" max="2" width="29" hidden="0" customWidth="1"/>
    <x:col min="3" max="3" width="29" hidden="0" customWidth="1"/>
    <x:col min="4" max="4" width="29" hidden="0" customWidth="1"/>
    <x:col min="5" max="5" width="29" hidden="0" customWidth="1"/>
    <x:col min="6" max="6" width="29" hidden="0" customWidth="1"/>
  </x:cols>
  <x:sheetData>
    <x:row r="1" ht="31" customHeight="1">
      <x:c r="A1" s="55" t="str">
        <x:v>ALIASES, DUPLICATES &amp; MATERIALS THAT MUST NOT BE SILENTLY SUBSTITUTED</x:v>
      </x:c>
      <x:c r="B1" s="55"/>
      <x:c r="C1" s="55"/>
      <x:c r="D1" s="55"/>
      <x:c r="E1" s="55"/>
      <x:c r="F1" s="55"/>
    </x:row>
    <x:row r="2" ht="34" customHeight="1">
      <x:c r="A2" s="60" t="str">
        <x:v>This sheet is the anti-drift firewall. Similar names and related odor families do not make materials equivalent.</x:v>
      </x:c>
      <x:c r="B2" s="60"/>
      <x:c r="C2" s="60"/>
      <x:c r="D2" s="60"/>
      <x:c r="E2" s="60"/>
      <x:c r="F2" s="60"/>
    </x:row>
    <x:row r="3" ht="34" customHeight="1">
      <x:c r="A3" s="60"/>
      <x:c r="B3" s="60"/>
      <x:c r="C3" s="60"/>
      <x:c r="D3" s="60"/>
      <x:c r="E3" s="60"/>
      <x:c r="F3" s="60"/>
    </x:row>
    <x:row r="4">
      <x:c r="A4"/>
      <x:c r="B4"/>
      <x:c r="C4"/>
      <x:c r="D4"/>
      <x:c r="E4"/>
      <x:c r="F4"/>
    </x:row>
    <x:row r="5">
      <x:c r="A5" s="32" t="str">
        <x:v>Material / name</x:v>
      </x:c>
      <x:c r="B5" s="32" t="str">
        <x:v>Compared with</x:v>
      </x:c>
      <x:c r="C5" s="32" t="str">
        <x:v>Relationship</x:v>
      </x:c>
      <x:c r="D5" s="32" t="str">
        <x:v>Required handling</x:v>
      </x:c>
      <x:c r="E5" s="32" t="str">
        <x:v>Reason</x:v>
      </x:c>
      <x:c r="F5" s="32" t="str">
        <x:v>Formula consequence</x:v>
      </x:c>
    </x:row>
    <x:row r="6" ht="52" customHeight="1">
      <x:c r="A6" s="44" t="str">
        <x:v>Castoreum 10%</x:v>
      </x:c>
      <x:c r="B6" s="44" t="str">
        <x:v>Castoreum Synthetic 10%</x:v>
      </x:c>
      <x:c r="C6" s="44" t="str">
        <x:v>DUPLICATE</x:v>
      </x:c>
      <x:c r="D6" s="44" t="str">
        <x:v>Merge items 45/46 into one canonical stock.</x:v>
      </x:c>
      <x:c r="E6" s="44" t="str">
        <x:v>Same user stock.</x:v>
      </x:c>
      <x:c r="F6" s="44" t="str">
        <x:v>Merge ledger</x:v>
      </x:c>
    </x:row>
    <x:row r="7" ht="52" customHeight="1">
      <x:c r="A7" s="44" t="str">
        <x:v>Citral 10%</x:v>
      </x:c>
      <x:c r="B7" s="44" t="str">
        <x:v>Citral Natural 10%</x:v>
      </x:c>
      <x:c r="C7" s="44" t="str">
        <x:v>DUPLICATE</x:v>
      </x:c>
      <x:c r="D7" s="44" t="str">
        <x:v>Merge items 54/55; canonical stock is neat Citral Natural.</x:v>
      </x:c>
      <x:c r="E7" s="44" t="str">
        <x:v>Prepare dilution as needed.</x:v>
      </x:c>
      <x:c r="F7" s="44" t="str">
        <x:v>Merge ledger</x:v>
      </x:c>
    </x:row>
    <x:row r="8" ht="52" customHeight="1">
      <x:c r="A8" s="44" t="str">
        <x:v>Coriander EO</x:v>
      </x:c>
      <x:c r="B8" s="44" t="str">
        <x:v>Coriander Seed EO</x:v>
      </x:c>
      <x:c r="C8" s="44" t="str">
        <x:v>DUPLICATE</x:v>
      </x:c>
      <x:c r="D8" s="44" t="str">
        <x:v>Merge items 63/64.</x:v>
      </x:c>
      <x:c r="E8" s="44" t="str">
        <x:v>Canonicalize as Coriander Seed EO neat.</x:v>
      </x:c>
      <x:c r="F8" s="44" t="str">
        <x:v>Merge ledger</x:v>
      </x:c>
    </x:row>
    <x:row r="9" ht="52" customHeight="1">
      <x:c r="A9" s="44" t="str">
        <x:v>Grapefruit FCF Oil</x:v>
      </x:c>
      <x:c r="B9" s="44" t="str">
        <x:v>Grapefruit FCF Oil Sicilian</x:v>
      </x:c>
      <x:c r="C9" s="44" t="str">
        <x:v>DUPLICATE</x:v>
      </x:c>
      <x:c r="D9" s="44" t="str">
        <x:v>Merge items 99/100.</x:v>
      </x:c>
      <x:c r="E9" s="44" t="str">
        <x:v>Same user stock.</x:v>
      </x:c>
      <x:c r="F9" s="44" t="str">
        <x:v>Merge ledger</x:v>
      </x:c>
    </x:row>
    <x:row r="10" ht="52" customHeight="1">
      <x:c r="A10" s="44" t="str">
        <x:v>Jasmine Absolute 10% TR</x:v>
      </x:c>
      <x:c r="B10" s="44" t="str">
        <x:v>Jasmine Absolute 10% in DPG</x:v>
      </x:c>
      <x:c r="C10" s="44" t="str">
        <x:v>DUPLICATE</x:v>
      </x:c>
      <x:c r="D10" s="44" t="str">
        <x:v>Delete TR duplicate.</x:v>
      </x:c>
      <x:c r="E10" s="44" t="str">
        <x:v>Use canonical 10% DPG stock.</x:v>
      </x:c>
      <x:c r="F10" s="44" t="str">
        <x:v>Merge ledger</x:v>
      </x:c>
    </x:row>
    <x:row r="11" ht="52" customHeight="1">
      <x:c r="A11" s="44" t="str">
        <x:v>Turkish Storax Tincture 20% nominal</x:v>
      </x:c>
      <x:c r="B11" s="44" t="str">
        <x:v>Turkish Storax Tincture</x:v>
      </x:c>
      <x:c r="C11" s="44" t="str">
        <x:v>DUPLICATE</x:v>
      </x:c>
      <x:c r="D11" s="44" t="str">
        <x:v>Merge items 192/193.</x:v>
      </x:c>
      <x:c r="E11" s="44" t="str">
        <x:v>Same tincture.</x:v>
      </x:c>
      <x:c r="F11" s="44" t="str">
        <x:v>Merge ledger</x:v>
      </x:c>
    </x:row>
    <x:row r="12" ht="52" customHeight="1">
      <x:c r="A12" s="44" t="str">
        <x:v>Cedarwood Himalayan</x:v>
      </x:c>
      <x:c r="B12" s="44" t="str">
        <x:v>Cedarwood Atlas</x:v>
      </x:c>
      <x:c r="C12" s="44" t="str">
        <x:v>NOT EQUIVALENT</x:v>
      </x:c>
      <x:c r="D12" s="44" t="str">
        <x:v>Do not relabel or substitute automatically.</x:v>
      </x:c>
      <x:c r="E12" s="44" t="str">
        <x:v>Different material/species.</x:v>
      </x:c>
      <x:c r="F12" s="44" t="str">
        <x:v>Hold/recalculate</x:v>
      </x:c>
    </x:row>
    <x:row r="13" ht="52" customHeight="1">
      <x:c r="A13" s="44" t="str">
        <x:v>Cinnamon Cassia Blume EO</x:v>
      </x:c>
      <x:c r="B13" s="44" t="str">
        <x:v>Cinnamon Bark EO / Ceylon</x:v>
      </x:c>
      <x:c r="C13" s="44" t="str">
        <x:v>NOT EQUIVALENT</x:v>
      </x:c>
      <x:c r="D13" s="44" t="str">
        <x:v>Use only if target accepts cassia.</x:v>
      </x:c>
      <x:c r="E13" s="44" t="str">
        <x:v>Different odor and constituent profile.</x:v>
      </x:c>
      <x:c r="F13" s="44" t="str">
        <x:v>Hold/recalculate</x:v>
      </x:c>
    </x:row>
    <x:row r="14" ht="52" customHeight="1">
      <x:c r="A14" s="44" t="str">
        <x:v>Galbanum EO</x:v>
      </x:c>
      <x:c r="B14" s="44" t="str">
        <x:v>Galbanum Resinoid</x:v>
      </x:c>
      <x:c r="C14" s="44" t="str">
        <x:v>NOT EQUIVALENT</x:v>
      </x:c>
      <x:c r="D14" s="44" t="str">
        <x:v>EO stocked; resinoid remains gap.</x:v>
      </x:c>
      <x:c r="E14" s="44" t="str">
        <x:v>Different extraction.</x:v>
      </x:c>
      <x:c r="F14" s="44" t="str">
        <x:v>Hold/recalculate</x:v>
      </x:c>
    </x:row>
    <x:row r="15" ht="52" customHeight="1">
      <x:c r="A15" s="44" t="str">
        <x:v>Ginger EO</x:v>
      </x:c>
      <x:c r="B15" s="44" t="str">
        <x:v>Ginger CO2</x:v>
      </x:c>
      <x:c r="C15" s="44" t="str">
        <x:v>NOT EQUIVALENT</x:v>
      </x:c>
      <x:c r="D15" s="44" t="str">
        <x:v>EO stocked; CO2 remains gap.</x:v>
      </x:c>
      <x:c r="E15" s="44" t="str">
        <x:v>Different extract.</x:v>
      </x:c>
      <x:c r="F15" s="44" t="str">
        <x:v>Hold/recalculate</x:v>
      </x:c>
    </x:row>
    <x:row r="16" ht="52" customHeight="1">
      <x:c r="A16" s="44" t="str">
        <x:v>Coffee Absolute</x:v>
      </x:c>
      <x:c r="B16" s="44" t="str">
        <x:v>Coffee CO2</x:v>
      </x:c>
      <x:c r="C16" s="44" t="str">
        <x:v>NOT EQUIVALENT</x:v>
      </x:c>
      <x:c r="D16" s="44" t="str">
        <x:v>Absolute stocked; CO2 remains gap.</x:v>
      </x:c>
      <x:c r="E16" s="44" t="str">
        <x:v>Different extract.</x:v>
      </x:c>
      <x:c r="F16" s="44" t="str">
        <x:v>Hold/recalculate</x:v>
      </x:c>
    </x:row>
    <x:row r="17" ht="52" customHeight="1">
      <x:c r="A17" s="44" t="str">
        <x:v>Peppermint EO</x:v>
      </x:c>
      <x:c r="B17" s="44" t="str">
        <x:v>Spearmint EO</x:v>
      </x:c>
      <x:c r="C17" s="44" t="str">
        <x:v>NOT EQUIVALENT</x:v>
      </x:c>
      <x:c r="D17" s="44" t="str">
        <x:v>Keep spearmint as gap.</x:v>
      </x:c>
      <x:c r="E17" s="44" t="str">
        <x:v>Different mint profile.</x:v>
      </x:c>
      <x:c r="F17" s="44" t="str">
        <x:v>Hold/recalculate</x:v>
      </x:c>
    </x:row>
    <x:row r="18" ht="52" customHeight="1">
      <x:c r="A18" s="44" t="str">
        <x:v>Anise EO</x:v>
      </x:c>
      <x:c r="B18" s="44" t="str">
        <x:v>Licorice Accord</x:v>
      </x:c>
      <x:c r="C18" s="44" t="str">
        <x:v>NOT EQUIVALENT</x:v>
      </x:c>
      <x:c r="D18" s="44" t="str">
        <x:v>Anise can support, not replace, a full accord.</x:v>
      </x:c>
      <x:c r="E18" s="44" t="str">
        <x:v>Accord remains gap.</x:v>
      </x:c>
      <x:c r="F18" s="44" t="str">
        <x:v>Hold/recalculate</x:v>
      </x:c>
    </x:row>
    <x:row r="19" ht="52" customHeight="1">
      <x:c r="A19" s="44" t="str">
        <x:v>Hexyl Acetate</x:v>
      </x:c>
      <x:c r="B19" s="44" t="str">
        <x:v>Pear Accord</x:v>
      </x:c>
      <x:c r="C19" s="44" t="str">
        <x:v>NOT EQUIVALENT</x:v>
      </x:c>
      <x:c r="D19" s="44" t="str">
        <x:v>Fruit ester is not a complete pear accord.</x:v>
      </x:c>
      <x:c r="E19" s="44" t="str">
        <x:v>Accord remains gap.</x:v>
      </x:c>
      <x:c r="F19" s="44" t="str">
        <x:v>Hold/recalculate</x:v>
      </x:c>
    </x:row>
    <x:row r="20" ht="52" customHeight="1">
      <x:c r="A20" s="44" t="str">
        <x:v>2-Acetylpyrazine</x:v>
      </x:c>
      <x:c r="B20" s="44" t="str">
        <x:v>Hazelnut Accord</x:v>
      </x:c>
      <x:c r="C20" s="44" t="str">
        <x:v>NOT EQUIVALENT</x:v>
      </x:c>
      <x:c r="D20" s="44" t="str">
        <x:v>Roasted/nutty building block only.</x:v>
      </x:c>
      <x:c r="E20" s="44" t="str">
        <x:v>Accord remains gap.</x:v>
      </x:c>
      <x:c r="F20" s="44" t="str">
        <x:v>Hold/recalculate</x:v>
      </x:c>
    </x:row>
    <x:row r="21" ht="52" customHeight="1">
      <x:c r="A21" s="44" t="str">
        <x:v>Black Pepper EO</x:v>
      </x:c>
      <x:c r="B21" s="44" t="str">
        <x:v>White Pepper EO / Accord</x:v>
      </x:c>
      <x:c r="C21" s="44" t="str">
        <x:v>NOT EQUIVALENT</x:v>
      </x:c>
      <x:c r="D21" s="44" t="str">
        <x:v>No automatic substitution.</x:v>
      </x:c>
      <x:c r="E21" s="44" t="str">
        <x:v>White pepper remains gap.</x:v>
      </x:c>
      <x:c r="F21" s="44" t="str">
        <x:v>Hold/recalculate</x:v>
      </x:c>
    </x:row>
    <x:row r="22" ht="52" customHeight="1">
      <x:c r="A22" s="44" t="str">
        <x:v>Rose de Mai 10%</x:v>
      </x:c>
      <x:c r="B22" s="44" t="str">
        <x:v>Rose Absolute / Rose EO</x:v>
      </x:c>
      <x:c r="C22" s="44" t="str">
        <x:v>NOT EQUIVALENT</x:v>
      </x:c>
      <x:c r="D22" s="44" t="str">
        <x:v>Use exact rose product named.</x:v>
      </x:c>
      <x:c r="E22" s="44" t="str">
        <x:v>Different extracts and profiles.</x:v>
      </x:c>
      <x:c r="F22" s="44" t="str">
        <x:v>Hold/recalculate</x:v>
      </x:c>
    </x:row>
    <x:row r="23" ht="52" customHeight="1">
      <x:c r="A23" s="44" t="str">
        <x:v>Jasmonyl</x:v>
      </x:c>
      <x:c r="B23" s="44" t="str">
        <x:v>Jessemal / cis-Jasmone / Dihydrojasmone</x:v>
      </x:c>
      <x:c r="C23" s="44" t="str">
        <x:v>NOT EQUIVALENT</x:v>
      </x:c>
      <x:c r="D23" s="44" t="str">
        <x:v>Exact Jasmonyl remains absent.</x:v>
      </x:c>
      <x:c r="E23" s="44" t="str">
        <x:v>Do not map by jasmine naming.</x:v>
      </x:c>
      <x:c r="F23" s="44" t="str">
        <x:v>Hold/recalculate</x:v>
      </x:c>
    </x:row>
    <x:row r="24" ht="52" customHeight="1">
      <x:c r="A24" s="44" t="str">
        <x:v>Orris product</x:v>
      </x:c>
      <x:c r="B24" s="44" t="str">
        <x:v>Known 30% Orris stock</x:v>
      </x:c>
      <x:c r="C24" s="44" t="str">
        <x:v>UNVERIFIED</x:v>
      </x:c>
      <x:c r="D24" s="44" t="str">
        <x:v>Supplier calls it EO of Orris Absolute; strength unknown.</x:v>
      </x:c>
      <x:c r="E24" s="44" t="str">
        <x:v>Treat as product basis.</x:v>
      </x:c>
      <x:c r="F24" s="44" t="str">
        <x:v>Hold/recalculate</x:v>
      </x:c>
    </x:row>
    <x:row r="25" ht="52" customHeight="1">
      <x:c r="A25" s="44" t="str">
        <x:v>FTEC / Fleuressence</x:v>
      </x:c>
      <x:c r="B25" s="44" t="str">
        <x:v>Any disclosed single aroma chemical</x:v>
      </x:c>
      <x:c r="C25" s="44" t="str">
        <x:v>BANNED</x:v>
      </x:c>
      <x:c r="D25" s="44" t="str">
        <x:v>Composition opaque and user rejects them.</x:v>
      </x:c>
      <x:c r="E25" s="44" t="str">
        <x:v>Delete from formulas.</x:v>
      </x:c>
      <x:c r="F25" s="44" t="str">
        <x:v>Hold/recalculate</x:v>
      </x:c>
    </x:row>
    <x:row r="26" ht="52" customHeight="1">
      <x:c r="A26" s="92" t="str">
        <x:v>AAG</x:v>
      </x:c>
      <x:c r="B26" s="92" t="str">
        <x:v>Allyl Amyl Glycolate</x:v>
      </x:c>
      <x:c r="C26" s="92" t="str">
        <x:v>CANONICAL IDENTITY</x:v>
      </x:c>
      <x:c r="D26" s="92" t="str">
        <x:v>Use PerfumersWorld name and CAS 67634-00-8.</x:v>
      </x:c>
      <x:c r="E26" s="92" t="str">
        <x:v>Same material; neat stock owned.</x:v>
      </x:c>
      <x:c r="F26" s="92" t="str">
        <x:v>Recalculate old 10% rows.</x:v>
      </x:c>
    </x:row>
    <x:row r="27" ht="52" customHeight="1">
      <x:c r="A27" s="92" t="str">
        <x:v>ACA</x:v>
      </x:c>
      <x:c r="B27" s="92" t="str">
        <x:v>Amyl Cinnamic Aldehyde</x:v>
      </x:c>
      <x:c r="C27" s="92" t="str">
        <x:v>CANONICAL IDENTITY</x:v>
      </x:c>
      <x:c r="D27" s="92" t="str">
        <x:v>Use CAS 122-40-7; also called alpha-Amyl Cinnamic Aldehyde.</x:v>
      </x:c>
      <x:c r="E27" s="92" t="str">
        <x:v>Jasmine-supporting cinnamic aldehyde.</x:v>
      </x:c>
      <x:c r="F27" s="92" t="str">
        <x:v>Do not confuse with HCA or cinnamaldehyde.</x:v>
      </x:c>
    </x:row>
    <x:row r="28" ht="52" customHeight="1">
      <x:c r="A28" s="92" t="str">
        <x:v>2-AP</x:v>
      </x:c>
      <x:c r="B28" s="92" t="str">
        <x:v>2-Acetyl Pyrazine</x:v>
      </x:c>
      <x:c r="C28" s="92" t="str">
        <x:v>CANONICAL IDENTITY</x:v>
      </x:c>
      <x:c r="D28" s="92" t="str">
        <x:v>Neat material owned; 1% in DPG may be prepared.</x:v>
      </x:c>
      <x:c r="E28" s="92" t="str">
        <x:v>Roasted/nutty trace material.</x:v>
      </x:c>
      <x:c r="F28" s="92" t="str">
        <x:v>Not a Hazelnut Accord.</x:v>
      </x:c>
    </x:row>
    <x:row r="29" ht="52" customHeight="1">
      <x:c r="A29" s="92" t="str">
        <x:v>Oranger Crystals 10%</x:v>
      </x:c>
      <x:c r="B29" s="92" t="str">
        <x:v>Oranger Crystals 10% in DPG</x:v>
      </x:c>
      <x:c r="C29" s="92" t="str">
        <x:v>DEFINED DILUTION</x:v>
      </x:c>
      <x:c r="D29" s="92" t="str">
        <x:v>Active fraction 0.10; parent CAS 93-08-3.</x:v>
      </x:c>
      <x:c r="E29" s="92" t="str">
        <x:v>Not a proprietary base.</x:v>
      </x:c>
      <x:c r="F29" s="92" t="str">
        <x:v>Use exact 10% DPG stock.</x:v>
      </x:c>
    </x:row>
    <x:row r="30" ht="52" customHeight="1">
      <x:c r="A30" s="92" t="str">
        <x:v>Sandalwood Base X3</x:v>
      </x:c>
      <x:c r="B30" s="92" t="str">
        <x:v>Natural Sandalwood EO</x:v>
      </x:c>
      <x:c r="C30" s="92" t="str">
        <x:v>NOT EQUIVALENT</x:v>
      </x:c>
      <x:c r="D30" s="92" t="str">
        <x:v>Keep as a PerfumersWorld specialty mixture.</x:v>
      </x:c>
      <x:c r="E30" s="92" t="str">
        <x:v>Artificial creamy sandalwood base; mixture.</x:v>
      </x:c>
      <x:c r="F30" s="92" t="str">
        <x:v>Product-basis accounting only.</x:v>
      </x:c>
    </x:row>
    <x:row r="31" ht="52" customHeight="1">
      <x:c r="A31" s="92" t="str">
        <x:v>Orris Liquid</x:v>
      </x:c>
      <x:c r="B31" s="92" t="str">
        <x:v>Orris Butter / irone / ionone</x:v>
      </x:c>
      <x:c r="C31" s="92" t="str">
        <x:v>NOT EQUIVALENT</x:v>
      </x:c>
      <x:c r="D31" s="92" t="str">
        <x:v>Keep as named PerfumersWorld product basis.</x:v>
      </x:c>
      <x:c r="E31" s="92" t="str">
        <x:v>Odor profile does not disclose single active fraction.</x:v>
      </x:c>
      <x:c r="F31" s="92" t="str">
        <x:v>No guessed 30% activity.</x:v>
      </x:c>
    </x:row>
    <x:row r="32" ht="52" customHeight="1">
      <x:c r="A32" s="92" t="str">
        <x:v>Ginger EO</x:v>
      </x:c>
      <x:c r="B32" s="92" t="str">
        <x:v>Ginger CO2</x:v>
      </x:c>
      <x:c r="C32" s="92" t="str">
        <x:v>NOT EQUIVALENT</x:v>
      </x:c>
      <x:c r="D32" s="92" t="str">
        <x:v>Use Ginger EO only when the target permits the EO profile.</x:v>
      </x:c>
      <x:c r="E32" s="92" t="str">
        <x:v>Different extract and odor balance.</x:v>
      </x:c>
      <x:c r="F32" s="92" t="str">
        <x:v>CO2-specific rows stay held.</x:v>
      </x:c>
    </x:row>
    <x:row r="33" ht="52" customHeight="1">
      <x:c r="A33" s="92" t="str">
        <x:v>Galbanum EO</x:v>
      </x:c>
      <x:c r="B33" s="92" t="str">
        <x:v>Galbanum Resinoid</x:v>
      </x:c>
      <x:c r="C33" s="92" t="str">
        <x:v>NOT EQUIVALENT</x:v>
      </x:c>
      <x:c r="D33" s="92" t="str">
        <x:v>A 10% EO dilution does not become resinoid.</x:v>
      </x:c>
      <x:c r="E33" s="92" t="str">
        <x:v>Different extraction and persistence.</x:v>
      </x:c>
      <x:c r="F33" s="92" t="str">
        <x:v>Resinoid-specific rows stay held.</x:v>
      </x:c>
    </x:row>
    <x:row r="34" ht="52" customHeight="1">
      <x:c r="A34" s="92" t="str">
        <x:v>Peppermint EO</x:v>
      </x:c>
      <x:c r="B34" s="92" t="str">
        <x:v>Spearmint EO</x:v>
      </x:c>
      <x:c r="C34" s="92" t="str">
        <x:v>NOT EQUIVALENT</x:v>
      </x:c>
      <x:c r="D34" s="92" t="str">
        <x:v>Do not use peppermint as spearmint by default.</x:v>
      </x:c>
      <x:c r="E34" s="92" t="str">
        <x:v>Different mint identity.</x:v>
      </x:c>
      <x:c r="F34" s="92" t="str">
        <x:v>Spearmint-specific rows stay held.</x:v>
      </x:c>
    </x:row>
    <x:row r="35" ht="52" customHeight="1">
      <x:c r="A35" s="92" t="str">
        <x:v>Nagarmotha Oil</x:v>
      </x:c>
      <x:c r="B35" s="92" t="str">
        <x:v>Cypriol Oil</x:v>
      </x:c>
      <x:c r="C35" s="92" t="str">
        <x:v>CANONICAL BOTANICAL MAPPING</x:v>
      </x:c>
      <x:c r="D35" s="92" t="str">
        <x:v>Use as cypriol/nagarmotha where the target supports it.</x:v>
      </x:c>
      <x:c r="E35" s="92" t="str">
        <x:v>Cyperus scariosus root oil.</x:v>
      </x:c>
      <x:c r="F35" s="92" t="str">
        <x:v>Papyrus-specific claims remain held.</x:v>
      </x:c>
    </x:row>
    <x:row r="36" ht="52" customHeight="1">
      <x:c r="A36" s="92" t="str">
        <x:v>Ambrofix / Ambrox Super</x:v>
      </x:c>
      <x:c r="B36" s="92" t="str">
        <x:v>Natural Ambergris / exact Ambergris Accord</x:v>
      </x:c>
      <x:c r="C36" s="92" t="str">
        <x:v>FUNCTIONAL ACCORD ONLY</x:v>
      </x:c>
      <x:c r="D36" s="92" t="str">
        <x:v>May build a modern ambergris molecular base.</x:v>
      </x:c>
      <x:c r="E36" s="92" t="str">
        <x:v>Does not reproduce natural ambergris complexity.</x:v>
      </x:c>
      <x:c r="F36" s="92" t="str">
        <x:v>Disclose as molecular reconstruction.</x:v>
      </x:c>
    </x:row>
    <x:row r="37" ht="52" customHeight="1">
      <x:c r="A37" s="92" t="str">
        <x:v>Neroli + Aurantiol + Oranger Crystals</x:v>
      </x:c>
      <x:c r="B37" s="92" t="str">
        <x:v>Orange Blossom Absolute</x:v>
      </x:c>
      <x:c r="C37" s="92" t="str">
        <x:v>FUNCTIONAL ACCORD ONLY</x:v>
      </x:c>
      <x:c r="D37" s="92" t="str">
        <x:v>May build an orange-blossom accord.</x:v>
      </x:c>
      <x:c r="E37" s="92" t="str">
        <x:v>Not a solvent-extracted absolute.</x:v>
      </x:c>
      <x:c r="F37" s="92" t="str">
        <x:v>Natural-absolute claim remains held.</x:v>
      </x:c>
    </x:row>
    <x:row r="38" ht="52" customHeight="1">
      <x:c r="A38" s="92" t="str">
        <x:v>Rose de Mai Absolute 10%</x:v>
      </x:c>
      <x:c r="B38" s="92" t="str">
        <x:v>Generic / Damask Rose Absolute</x:v>
      </x:c>
      <x:c r="C38" s="92" t="str">
        <x:v>SPECIES-SPECIFIC SUBSTITUTE</x:v>
      </x:c>
      <x:c r="D38" s="92" t="str">
        <x:v>Use only when target evidence permits Rosa centifolia.</x:v>
      </x:c>
      <x:c r="E38" s="92" t="str">
        <x:v>Different botanical and extraction identity.</x:v>
      </x:c>
      <x:c r="F38" s="92" t="str">
        <x:v>Keep source species explicit.</x:v>
      </x:c>
    </x:row>
    <x:row r="39" ht="52" customHeight="1">
      <x:c r="A39" s="92" t="str">
        <x:v>Ylang-Ylang Comoros Complete</x:v>
      </x:c>
      <x:c r="B39" s="92" t="str">
        <x:v>Generic Ylang-Ylang EO</x:v>
      </x:c>
      <x:c r="C39" s="92" t="str">
        <x:v>ACCEPTABLE GENERIC MAPPING</x:v>
      </x:c>
      <x:c r="D39" s="92" t="str">
        <x:v>Use Complete as the default generic ylang EO stock.</x:v>
      </x:c>
      <x:c r="E39" s="92" t="str">
        <x:v>Grade III remains a distinct later fraction.</x:v>
      </x:c>
      <x:c r="F39" s="92" t="str">
        <x:v>Do not merge Complete and III.</x:v>
      </x:c>
    </x:row>
    <x:row r="40">
      <x:c r="A40" s="92" t="str">
        <x:v>stralyl acetate</x:v>
      </x:c>
      <x:c r="B40" s="92" t="str">
        <x:v>Styralyl Acetate</x:v>
      </x:c>
      <x:c r="C40" s="92" t="str">
        <x:v>SPELLING NORMALIZATION</x:v>
      </x:c>
      <x:c r="D40" s="92" t="str">
        <x:v>Use canonical Styralyl Acetate.</x:v>
      </x:c>
      <x:c r="E40" s="92" t="str">
        <x:v>User spelling normalized; no substitution.</x:v>
      </x:c>
      <x:c r="F40" s="92" t="str">
        <x:v>No formula change.</x:v>
      </x:c>
    </x:row>
    <x:row r="41">
      <x:c r="A41" s="92" t="str">
        <x:v>Terpenyl Acetate</x:v>
      </x:c>
      <x:c r="B41" s="92" t="str">
        <x:v>Terpinyl Acetate</x:v>
      </x:c>
      <x:c r="C41" s="92" t="str">
        <x:v>LEGACY SPELLING NORMALIZATION</x:v>
      </x:c>
      <x:c r="D41" s="92" t="str">
        <x:v>Use Terpinyl Acetate in V4.</x:v>
      </x:c>
      <x:c r="E41" s="92" t="str">
        <x:v>One material identity; old spelling retained as alias.</x:v>
      </x:c>
      <x:c r="F41" s="92" t="str">
        <x:v>Update labels only.</x:v>
      </x:c>
    </x:row>
    <x:row r="42">
      <x:c r="A42" s="92" t="str">
        <x:v>Tuberlia Base</x:v>
      </x:c>
      <x:c r="B42" s="92" t="str">
        <x:v>Tuberalia Base</x:v>
      </x:c>
      <x:c r="C42" s="92" t="str">
        <x:v>SPELLING NORMALIZATION</x:v>
      </x:c>
      <x:c r="D42" s="92" t="str">
        <x:v>Use existing product-basis row.</x:v>
      </x:c>
      <x:c r="E42" s="92" t="str">
        <x:v>Opaque base remains one product.</x:v>
      </x:c>
      <x:c r="F42" s="92" t="str">
        <x:v>No internal expansion.</x:v>
      </x:c>
    </x:row>
    <x:row r="43">
      <x:c r="A43" s="92" t="str">
        <x:v>tagates EO</x:v>
      </x:c>
      <x:c r="B43" s="92" t="str">
        <x:v>Tagetes EO</x:v>
      </x:c>
      <x:c r="C43" s="92" t="str">
        <x:v>SPELLING NORMALIZATION</x:v>
      </x:c>
      <x:c r="D43" s="92" t="str">
        <x:v>Use Tagetes EO 10% in DPG.</x:v>
      </x:c>
      <x:c r="E43" s="92" t="str">
        <x:v>User spelling normalized.</x:v>
      </x:c>
      <x:c r="F43" s="92" t="str">
        <x:v>No formula change.</x:v>
      </x:c>
    </x:row>
    <x:row r="44">
      <x:c r="A44" s="92" t="str">
        <x:v>Bourgenol</x:v>
      </x:c>
      <x:c r="B44" s="92" t="str">
        <x:v>Bourgeonal</x:v>
      </x:c>
      <x:c r="C44" s="92" t="str">
        <x:v>LABEL-NAME HOLD</x:v>
      </x:c>
      <x:c r="D44" s="92" t="str">
        <x:v>Use the recorded 20% w/w TEC stock while retaining bottle-name uncertainty.</x:v>
      </x:c>
      <x:c r="E44" s="92" t="str">
        <x:v>A spelling correction is not chemical proof.</x:v>
      </x:c>
      <x:c r="F44" s="92" t="str">
        <x:v>Verify exact label before identity-level claims.</x:v>
      </x:c>
    </x:row>
    <x:row r="45">
      <x:c r="A45" s="92" t="str">
        <x:v>Heliotropin</x:v>
      </x:c>
      <x:c r="B45" s="92" t="str">
        <x:v>Heliotropal</x:v>
      </x:c>
      <x:c r="C45" s="92" t="str">
        <x:v>NOT EQUIVALENT</x:v>
      </x:c>
      <x:c r="D45" s="92" t="str">
        <x:v>Keep separate rows.</x:v>
      </x:c>
      <x:c r="E45" s="92" t="str">
        <x:v>Related names do not prove identical identity or stock.</x:v>
      </x:c>
      <x:c r="F45" s="92" t="str">
        <x:v>No silent substitution.</x:v>
      </x:c>
    </x:row>
    <x:row r="46">
      <x:c r="A46" s="92" t="str">
        <x:v>Aldehyde C16 EMPG</x:v>
      </x:c>
      <x:c r="B46" s="92" t="str">
        <x:v>Apritone</x:v>
      </x:c>
      <x:c r="C46" s="92" t="str">
        <x:v>NOT MERGED</x:v>
      </x:c>
      <x:c r="D46" s="92" t="str">
        <x:v>Keep separate canonical rows.</x:v>
      </x:c>
      <x:c r="E46" s="92" t="str">
        <x:v>The user phrase mentioned both together, but no equivalence evidence was supplied.</x:v>
      </x:c>
      <x:c r="F46" s="92" t="str">
        <x:v>Hold equivalence claim.</x:v>
      </x:c>
    </x:row>
    <x:row r="47">
      <x:c r="A47" s="92" t="str">
        <x:v>Cedarwood EO (China)</x:v>
      </x:c>
      <x:c r="B47" s="92" t="str">
        <x:v>Virginia / Himalayan / Atlas cedarwood</x:v>
      </x:c>
      <x:c r="C47" s="92" t="str">
        <x:v>NOT EQUIVALENT</x:v>
      </x:c>
      <x:c r="D47" s="92" t="str">
        <x:v>Use only as China-origin, species-unspecified cedarwood.</x:v>
      </x:c>
      <x:c r="E47" s="92" t="str">
        <x:v>Origin does not establish botanical species.</x:v>
      </x:c>
      <x:c r="F47" s="92" t="str">
        <x:v>Species-specific formulas remain held.</x:v>
      </x:c>
    </x:row>
    <x:row r="48">
      <x:c r="A48" s="92" t="str">
        <x:v>Freesia HDI</x:v>
      </x:c>
      <x:c r="B48" s="92" t="str">
        <x:v>A disclosed freesia molecule</x:v>
      </x:c>
      <x:c r="C48" s="92" t="str">
        <x:v>PRODUCT BASIS</x:v>
      </x:c>
      <x:c r="D48" s="92" t="str">
        <x:v>Count once and retain exact label.</x:v>
      </x:c>
      <x:c r="E48" s="92" t="str">
        <x:v>Composition and strength are not supplied.</x:v>
      </x:c>
      <x:c r="F48" s="92" t="str">
        <x:v>No internal expansion.</x:v>
      </x:c>
    </x:row>
    <x:row r="49">
      <x:c r="A49" s="92" t="str">
        <x:v>Pamzest</x:v>
      </x:c>
      <x:c r="B49" s="92" t="str">
        <x:v>A single grapefruit molecule</x:v>
      </x:c>
      <x:c r="C49" s="92" t="str">
        <x:v>PRODUCT BASIS</x:v>
      </x:c>
      <x:c r="D49" s="92" t="str">
        <x:v>Count once and retain product name.</x:v>
      </x:c>
      <x:c r="E49" s="92" t="str">
        <x:v>Specialty base is opaque.</x:v>
      </x:c>
      <x:c r="F49" s="92" t="str">
        <x:v>No molecule-level substitution.</x:v>
      </x:c>
    </x:row>
    <x:row r="50">
      <x:c r="A50" s="92" t="str">
        <x:v>Cassis Base 345B</x:v>
      </x:c>
      <x:c r="B50" s="92" t="str">
        <x:v>Blackcurrant absolute / cassis molecule</x:v>
      </x:c>
      <x:c r="C50" s="92" t="str">
        <x:v>PRODUCT BASIS</x:v>
      </x:c>
      <x:c r="D50" s="92" t="str">
        <x:v>Count once and retain exact name.</x:v>
      </x:c>
      <x:c r="E50" s="92" t="str">
        <x:v>Base composition is opaque.</x:v>
      </x:c>
      <x:c r="F50" s="92" t="str">
        <x:v>No internal expansion.</x:v>
      </x:c>
    </x:row>
  </x:sheetData>
  <x:mergeCells>
    <x:mergeCell ref="A1:F1"/>
    <x:mergeCell ref="A2:F3"/>
  </x:mergeCells>
  <x:conditionalFormatting sqref="C6:C25">
    <x:cfRule type="expression" dxfId="14" priority="1">
      <x:formula>C6="DUPLICATE"</x:formula>
    </x:cfRule>
    <x:cfRule type="expression" dxfId="15" priority="2">
      <x:formula>C6="NOT EQUIVALENT"</x:formula>
    </x:cfRule>
    <x:cfRule type="expression" dxfId="16" priority="3">
      <x:formula>OR(C6="BANNED",C6="UNVERIFIED")</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31" hidden="0" customWidth="1"/>
    <x:col min="2" max="2" width="31" hidden="0" customWidth="1"/>
    <x:col min="3" max="3" width="13" hidden="0" customWidth="1"/>
    <x:col min="4" max="4" width="11" hidden="0" customWidth="1"/>
    <x:col min="5" max="5" width="37" hidden="0" customWidth="1"/>
    <x:col min="6" max="6" width="37" hidden="0" customWidth="1"/>
    <x:col min="7" max="7" width="37" hidden="0" customWidth="1"/>
    <x:col min="8" max="8" width="37" hidden="0" customWidth="1"/>
    <x:col min="9" max="9" width="37" hidden="0" customWidth="1"/>
    <x:col min="10" max="10" width="37" hidden="0" customWidth="1"/>
  </x:cols>
  <x:sheetData>
    <x:row r="1" ht="31" customHeight="1">
      <x:c r="A1" s="55" t="str">
        <x:v>FORMULA IMPACT • STOCK CHANGES THAT REQUIRE HOLD, REMAP OR RECALCULATION</x:v>
      </x:c>
      <x:c r="B1" s="55"/>
      <x:c r="C1" s="55"/>
      <x:c r="D1" s="55"/>
      <x:c r="E1" s="55"/>
      <x:c r="F1" s="55"/>
      <x:c r="G1" s="55"/>
      <x:c r="H1" s="55"/>
      <x:c r="I1" s="55"/>
      <x:c r="J1" s="55"/>
    </x:row>
    <x:row r="2" ht="34" customHeight="1">
      <x:c r="A2" s="60" t="str">
        <x:v>These are not automatic substitutions. The table identifies original formula usage so repaired formulas can be regenerated using exact current stocks.</x:v>
      </x:c>
      <x:c r="B2" s="60"/>
      <x:c r="C2" s="60"/>
      <x:c r="D2" s="60"/>
      <x:c r="E2" s="60"/>
      <x:c r="F2" s="60"/>
      <x:c r="G2" s="60"/>
      <x:c r="H2" s="60"/>
      <x:c r="I2" s="60"/>
      <x:c r="J2" s="60"/>
    </x:row>
    <x:row r="3" ht="34" customHeight="1">
      <x:c r="A3" s="60"/>
      <x:c r="B3" s="60"/>
      <x:c r="C3" s="60"/>
      <x:c r="D3" s="60"/>
      <x:c r="E3" s="60"/>
      <x:c r="F3" s="60"/>
      <x:c r="G3" s="60"/>
      <x:c r="H3" s="60"/>
      <x:c r="I3" s="60"/>
      <x:c r="J3" s="60"/>
    </x:row>
    <x:row r="5">
      <x:c r="A5" s="32" t="str">
        <x:v>Material</x:v>
      </x:c>
      <x:c r="B5" s="32" t="str">
        <x:v>Status</x:v>
      </x:c>
      <x:c r="C5" s="32" t="str">
        <x:v>Formula count</x:v>
      </x:c>
      <x:c r="D5" s="32" t="str">
        <x:v>Row uses</x:v>
      </x:c>
      <x:c r="E5" s="32" t="str">
        <x:v>Target IDs</x:v>
      </x:c>
      <x:c r="F5" s="32" t="str">
        <x:v>Impact class</x:v>
      </x:c>
      <x:c r="G5" s="32" t="str">
        <x:v>Required formula action</x:v>
      </x:c>
      <x:c r="H5" s="32" t="str">
        <x:v>Actual stock</x:v>
      </x:c>
      <x:c r="I5" s="32" t="str">
        <x:v>Prior stock</x:v>
      </x:c>
      <x:c r="J5" s="32" t="str">
        <x:v>Reason</x:v>
      </x:c>
    </x:row>
    <x:row r="6" ht="55" customHeight="1">
      <x:c r="A6" s="44" t="str">
        <x:v>DO NOT USE — Iris FTEC</x:v>
      </x:c>
      <x:c r="B6" s="44" t="str">
        <x:v>BANNED / DELETE</x:v>
      </x:c>
      <x:c r="C6" s="44" t="n">
        <x:v>4</x:v>
      </x:c>
      <x:c r="D6" s="44" t="n">
        <x:v>4</x:v>
      </x:c>
      <x:c r="E6" s="44" t="str">
        <x:v>PR-L04, PR-L05, PR-N04, Y11</x:v>
      </x:c>
      <x:c r="F6" s="44" t="str">
        <x:v>BLOCKER</x:v>
      </x:c>
      <x:c r="G6" s="44" t="str">
        <x:v>Delete material from every affected formula and rebuild target architecture.</x:v>
      </x:c>
      <x:c r="H6" s="44"/>
      <x:c r="I6" s="44" t="str">
        <x:v>as supplied; product basis</x:v>
      </x:c>
      <x:c r="J6" s="44" t="str">
        <x:v>Permanent ban on FTEC/Fleuressence materials.</x:v>
      </x:c>
    </x:row>
    <x:row r="7" ht="55" customHeight="1">
      <x:c r="A7" s="44" t="str">
        <x:v>DO NOT USE — Molecule Iris</x:v>
      </x:c>
      <x:c r="B7" s="44" t="str">
        <x:v>BANNED / DELETE</x:v>
      </x:c>
      <x:c r="C7" s="44" t="n">
        <x:v>35</x:v>
      </x:c>
      <x:c r="D7" s="44" t="n">
        <x:v>35</x:v>
      </x:c>
      <x:c r="E7" s="44" t="str">
        <x:v>AM-E01, AM-E02, AM-E05, AM-E06, AM-E08, AM-E09, AM-E10, AM-L04, AM-L07, AM-L08, AM-L09, AM-N01, AM-N05, AM-N06, AM-N12, AM-N16, C01, C03, H01, H02, H04, H05, H06, H07, H08, O01, O02, O04, PR-E02, PR-N02, Y09, Y10, Y11, Y12, Y13</x:v>
      </x:c>
      <x:c r="F7" s="44" t="str">
        <x:v>BLOCKER</x:v>
      </x:c>
      <x:c r="G7" s="44" t="str">
        <x:v>Delete material from every affected formula and rebuild target architecture.</x:v>
      </x:c>
      <x:c r="H7" s="44"/>
      <x:c r="I7" s="44" t="str">
        <x:v>as supplied</x:v>
      </x:c>
      <x:c r="J7" s="44" t="str">
        <x:v>Permanent user ban.</x:v>
      </x:c>
    </x:row>
    <x:row r="8" ht="55" customHeight="1">
      <x:c r="A8" s="44" t="str">
        <x:v>Alpha Irone 10%</x:v>
      </x:c>
      <x:c r="B8" s="44" t="str">
        <x:v>GAP</x:v>
      </x:c>
      <x:c r="C8" s="44" t="n">
        <x:v>12</x:v>
      </x:c>
      <x:c r="D8" s="44" t="n">
        <x:v>12</x:v>
      </x:c>
      <x:c r="E8" s="44" t="str">
        <x:v>AM-E01, AM-E09, AM-E10, AM-L08, AM-N01, AM-N12, AM-N16, PR-L03, PR-N02, PR-N08, PR-N10, PR-N11</x:v>
      </x:c>
      <x:c r="F8" s="44" t="str">
        <x:v>HOLD / TARGET GAP</x:v>
      </x:c>
      <x:c r="G8" s="44" t="str">
        <x:v>Keep target gap explicit or obtain exact material; no silent replacement.</x:v>
      </x:c>
      <x:c r="H8" s="44"/>
      <x:c r="I8" s="44" t="str">
        <x:v>10% working stock</x:v>
      </x:c>
      <x:c r="J8" s="44" t="str">
        <x:v>User does not have Alpha Irone 10%.</x:v>
      </x:c>
    </x:row>
    <x:row r="9" ht="55" customHeight="1">
      <x:c r="A9" s="44" t="str">
        <x:v>Amber Core 10%</x:v>
      </x:c>
      <x:c r="B9" s="44" t="str">
        <x:v>GAP</x:v>
      </x:c>
      <x:c r="C9" s="44" t="n">
        <x:v>48</x:v>
      </x:c>
      <x:c r="D9" s="44" t="n">
        <x:v>48</x:v>
      </x:c>
      <x:c r="E9" s="44" t="str">
        <x:v>AM-E01, AM-E02, AM-E03, AM-E04, AM-E05, AM-E06, AM-E07, AM-E08, AM-E10, AM-E11, AM-E12, AM-E13, AM-E14, AM-E15, AM-E16, AM-L01, AM-L02, AM-L03, AM-L04, AM-L05, AM-L06, AM-L07, AM-L08, AM-L09, AM-N01, AM-N02, AM-N03, AM-N04, AM-N05, AM-N06, AM-N07, AM-N08, AM-N09, AM-N10, AM-N11, AM-N12, AM-N13, AM-N14, AM-N15, AM-N16, C05, C07, C08, PR-E09, PR-N01, PR-N06, Y01, Y08</x:v>
      </x:c>
      <x:c r="F9" s="44" t="str">
        <x:v>HOLD / TARGET GAP</x:v>
      </x:c>
      <x:c r="G9" s="44" t="str">
        <x:v>Keep target gap explicit or obtain exact material; no silent replacement.</x:v>
      </x:c>
      <x:c r="H9" s="44"/>
      <x:c r="I9" s="44" t="str">
        <x:v>10% in DPG</x:v>
      </x:c>
      <x:c r="J9" s="44" t="str">
        <x:v>User confirmed not in stock.</x:v>
      </x:c>
    </x:row>
    <x:row r="10" ht="55" customHeight="1">
      <x:c r="A10" s="44" t="str">
        <x:v>Amber Xtreme 0.1%</x:v>
      </x:c>
      <x:c r="B10" s="44" t="str">
        <x:v>GAP</x:v>
      </x:c>
      <x:c r="C10" s="44" t="n">
        <x:v>47</x:v>
      </x:c>
      <x:c r="D10" s="44" t="n">
        <x:v>47</x:v>
      </x:c>
      <x:c r="E10" s="44" t="str">
        <x:v>AM-E01, AM-E02, AM-E03, AM-E04, AM-E05, AM-E06, AM-E07, AM-E08, AM-E09, AM-E10, AM-E11, AM-E12, AM-E13, AM-E14, AM-E15, AM-E16, AM-L01, AM-L02, AM-L03, AM-L04, AM-L05, AM-L06, AM-L07, AM-L08, AM-L09, AM-N01, AM-N02, AM-N03, AM-N04, AM-N05, AM-N06, AM-N07, AM-N08, AM-N09, AM-N10, AM-N11, AM-N12, AM-N13, AM-N14, AM-N15, AM-N16, C07, C08, PR-E03, PR-E06, PR-N09, Y01</x:v>
      </x:c>
      <x:c r="F10" s="44" t="str">
        <x:v>HOLD / TARGET GAP</x:v>
      </x:c>
      <x:c r="G10" s="44" t="str">
        <x:v>Keep target gap explicit or obtain exact material; no silent replacement.</x:v>
      </x:c>
      <x:c r="H10" s="44"/>
      <x:c r="I10" s="44" t="str">
        <x:v>0.1% in DPG</x:v>
      </x:c>
      <x:c r="J10" s="44" t="str">
        <x:v>User confirmed not in stock.</x:v>
      </x:c>
    </x:row>
    <x:row r="11" ht="58" customHeight="1">
      <x:c r="A11" s="44" t="str">
        <x:v>Ambergris Accord</x:v>
      </x:c>
      <x:c r="B11" s="44" t="str">
        <x:v>CONSTRUCTIBLE MOLECULAR ACCORD — NOT NATURAL AMBERGRIS</x:v>
      </x:c>
      <x:c r="C11" s="44" t="n">
        <x:v>4</x:v>
      </x:c>
      <x:c r="D11" s="44" t="n">
        <x:v>4</x:v>
      </x:c>
      <x:c r="E11" s="44" t="str">
        <x:v>AM-N07, AM-N13, AM-N15, O06</x:v>
      </x:c>
      <x:c r="F11" s="44" t="str">
        <x:v>CONSTRUCTIBLE FUNCTIONAL ACCORD</x:v>
      </x:c>
      <x:c r="G11" s="44" t="str">
        <x:v>Build the accord from the dedicated recipe, evaluate it alone, then use it only as a disclosed functional reconstruction.</x:v>
      </x:c>
      <x:c r="H11" s="44" t="str">
        <x:v>Ambergris Molecular Base v0.1 can be built from Ambrofix 40%, Ambrox Super 33%, Habanolide, Ambrettolide 10%, Cashmeran and supporting materials.</x:v>
      </x:c>
      <x:c r="I11" s="44" t="str">
        <x:v>target-required accord</x:v>
      </x:c>
      <x:c r="J11" s="44" t="str">
        <x:v>Modern ambergris/ambrox effect only; not natural ambergris tincture or a disclosed commercial base.</x:v>
      </x:c>
    </x:row>
    <x:row r="12" ht="55" customHeight="1">
      <x:c r="A12" s="44" t="str">
        <x:v>Angelica Seed EO 10%</x:v>
      </x:c>
      <x:c r="B12" s="44" t="str">
        <x:v>GAP</x:v>
      </x:c>
      <x:c r="C12" s="44" t="n">
        <x:v>3</x:v>
      </x:c>
      <x:c r="D12" s="44" t="n">
        <x:v>3</x:v>
      </x:c>
      <x:c r="E12" s="44" t="str">
        <x:v>AM-N04, PR-E05, PR-N13</x:v>
      </x:c>
      <x:c r="F12" s="44" t="str">
        <x:v>HOLD / TARGET GAP</x:v>
      </x:c>
      <x:c r="G12" s="44" t="str">
        <x:v>Keep target gap explicit or obtain exact material; no silent replacement.</x:v>
      </x:c>
      <x:c r="H12" s="44"/>
      <x:c r="I12" s="44" t="str">
        <x:v>10% target-required working dilution</x:v>
      </x:c>
      <x:c r="J12" s="44" t="str">
        <x:v>User confirmed no.</x:v>
      </x:c>
    </x:row>
    <x:row r="13" ht="58" customHeight="1">
      <x:c r="A13" s="44" t="str">
        <x:v>Apple Accord 10%</x:v>
      </x:c>
      <x:c r="B13" s="44" t="str">
        <x:v>CONSTRUCTIBLE ACCORD — NOT YET MIXED</x:v>
      </x:c>
      <x:c r="C13" s="44" t="n">
        <x:v>2</x:v>
      </x:c>
      <x:c r="D13" s="44" t="n">
        <x:v>2</x:v>
      </x:c>
      <x:c r="E13" s="44" t="str">
        <x:v>Y10, Y13</x:v>
      </x:c>
      <x:c r="F13" s="44" t="str">
        <x:v>CONSTRUCTIBLE FUNCTIONAL ACCORD</x:v>
      </x:c>
      <x:c r="G13" s="44" t="str">
        <x:v>Build the accord from the dedicated recipe, evaluate it alone, then use it only as a disclosed functional reconstruction.</x:v>
      </x:c>
      <x:c r="H13" s="44" t="str">
        <x:v>Apple Accord v0.1 can be built from Hexyl Acetate, Verdox, Verdyl Acetate, AAG 10%, cis-3-Hexenol 1%, Ethyl 2-Methylbutyrate 0.1%, Melonal 1% and supporting materials.</x:v>
      </x:c>
      <x:c r="I13" s="44" t="str">
        <x:v>10% target-required accord</x:v>
      </x:c>
      <x:c r="J13" s="44" t="str">
        <x:v>A constructed green-apple accord is not evidence of an original commercial apple base.</x:v>
      </x:c>
    </x:row>
    <x:row r="14" ht="55" customHeight="1">
      <x:c r="A14" s="44" t="str">
        <x:v>Camellia Accord 10%</x:v>
      </x:c>
      <x:c r="B14" s="44" t="str">
        <x:v>GAP</x:v>
      </x:c>
      <x:c r="C14" s="44" t="n">
        <x:v>1</x:v>
      </x:c>
      <x:c r="D14" s="44" t="n">
        <x:v>1</x:v>
      </x:c>
      <x:c r="E14" s="44" t="str">
        <x:v>AM-L08</x:v>
      </x:c>
      <x:c r="F14" s="44" t="str">
        <x:v>HOLD / TARGET GAP</x:v>
      </x:c>
      <x:c r="G14" s="44" t="str">
        <x:v>Keep target gap explicit or obtain exact material; no silent replacement.</x:v>
      </x:c>
      <x:c r="H14" s="44"/>
      <x:c r="I14" s="44" t="str">
        <x:v>10% target-required accord</x:v>
      </x:c>
      <x:c r="J14" s="44" t="str">
        <x:v>No Camellia Accord.</x:v>
      </x:c>
    </x:row>
    <x:row r="15" ht="55" customHeight="1">
      <x:c r="A15" s="44" t="str">
        <x:v>Cedarwood Atlas</x:v>
      </x:c>
      <x:c r="B15" s="44" t="str">
        <x:v>GAP — ATLAS</x:v>
      </x:c>
      <x:c r="C15" s="44" t="n">
        <x:v>5</x:v>
      </x:c>
      <x:c r="D15" s="44" t="n">
        <x:v>5</x:v>
      </x:c>
      <x:c r="E15" s="44" t="str">
        <x:v>PR-L04, PR-L05, PR-N04, PR-N10, Y12</x:v>
      </x:c>
      <x:c r="F15" s="44" t="str">
        <x:v>HOLD / TARGET GAP</x:v>
      </x:c>
      <x:c r="G15" s="44" t="str">
        <x:v>Keep target gap explicit or obtain exact material; no silent replacement.</x:v>
      </x:c>
      <x:c r="H15" s="44" t="str">
        <x:v>Cedarwood Himalayan EO available; Cedarwood Atlas not available</x:v>
      </x:c>
      <x:c r="I15" s="44" t="str">
        <x:v>neat / as supplied; verify stock</x:v>
      </x:c>
      <x:c r="J15" s="44" t="str">
        <x:v>User owns Himalayan cedarwood, not Atlas.</x:v>
      </x:c>
    </x:row>
    <x:row r="16" ht="55" customHeight="1">
      <x:c r="A16" s="44" t="str">
        <x:v>Cedrat FCF Oil Sicilian</x:v>
      </x:c>
      <x:c r="B16" s="44" t="str">
        <x:v>OUT OF STOCK — CONFIRMED</x:v>
      </x:c>
      <x:c r="C16" s="44" t="n">
        <x:v>52</x:v>
      </x:c>
      <x:c r="D16" s="44" t="n">
        <x:v>52</x:v>
      </x:c>
      <x:c r="E16" s="44" t="str">
        <x:v>AM-E01, AM-E02, AM-E03, AM-E04, AM-E05, AM-E06, AM-E07, AM-E08, AM-E09, AM-E10, AM-E12, AM-E14, AM-E15, AM-E16, AM-L01, AM-L02, AM-L03, AM-L04, AM-L06, AM-L08, AM-L09, AM-N02, AM-N04, AM-N05, AM-N06, AM-N07, AM-N09, AM-N10, AM-N11, AM-N12, AM-N13, AM-N14, AM-N15, AM-N16, C07, H11, H12, H14, H15, PR-E04, PR-E05, PR-E07, PR-L02, PR-N03, PR-N10, PR-N11, PR-N12, PR-N13, PR-N14, S03, Y01, Y08</x:v>
      </x:c>
      <x:c r="F16" s="44" t="str">
        <x:v>HOLD / TARGET GAP</x:v>
      </x:c>
      <x:c r="G16" s="44" t="str">
        <x:v>Preserve Cedrat target rows and keep formulas on stock hold; do not substitute another citrus silently.</x:v>
      </x:c>
      <x:c r="H16" s="44"/>
      <x:c r="I16" s="44" t="str">
        <x:v>neat</x:v>
      </x:c>
      <x:c r="J16" s="44" t="str">
        <x:v>User explicitly marked Cedrat FCF Oil out of stock on 2026-08-07.</x:v>
      </x:c>
    </x:row>
    <x:row r="17" ht="55" customHeight="1">
      <x:c r="A17" s="44" t="str">
        <x:v>Chrysanthemum Accord 10%</x:v>
      </x:c>
      <x:c r="B17" s="44" t="str">
        <x:v>GAP</x:v>
      </x:c>
      <x:c r="C17" s="44" t="n">
        <x:v>1</x:v>
      </x:c>
      <x:c r="D17" s="44" t="n">
        <x:v>1</x:v>
      </x:c>
      <x:c r="E17" s="44" t="str">
        <x:v>AM-L03</x:v>
      </x:c>
      <x:c r="F17" s="44" t="str">
        <x:v>HOLD / TARGET GAP</x:v>
      </x:c>
      <x:c r="G17" s="44" t="str">
        <x:v>Keep target gap explicit or obtain exact material; no silent replacement.</x:v>
      </x:c>
      <x:c r="H17" s="44"/>
      <x:c r="I17" s="44" t="str">
        <x:v>10% target-required accord</x:v>
      </x:c>
      <x:c r="J17" s="44" t="str">
        <x:v>Unchanged from prior register.</x:v>
      </x:c>
    </x:row>
    <x:row r="18" ht="55" customHeight="1">
      <x:c r="A18" s="44" t="str">
        <x:v>Civet Base 10%</x:v>
      </x:c>
      <x:c r="B18" s="44" t="str">
        <x:v>GAP / CLARIFIED</x:v>
      </x:c>
      <x:c r="C18" s="44" t="n">
        <x:v>1</x:v>
      </x:c>
      <x:c r="D18" s="44" t="n">
        <x:v>1</x:v>
      </x:c>
      <x:c r="E18" s="44" t="str">
        <x:v>AM-N05</x:v>
      </x:c>
      <x:c r="F18" s="44" t="str">
        <x:v>HOLD / TARGET GAP</x:v>
      </x:c>
      <x:c r="G18" s="44" t="str">
        <x:v>Keep target gap explicit or obtain exact material; no silent replacement.</x:v>
      </x:c>
      <x:c r="H18" s="44"/>
      <x:c r="I18" s="44" t="str">
        <x:v>10% target-required accord</x:v>
      </x:c>
      <x:c r="J18" s="44" t="str">
        <x:v>User asked whether this meant costus or castoreum.</x:v>
      </x:c>
    </x:row>
    <x:row r="19" ht="55" customHeight="1">
      <x:c r="A19" s="44" t="str">
        <x:v>Clearwood</x:v>
      </x:c>
      <x:c r="B19" s="44" t="str">
        <x:v>OUT OF STOCK</x:v>
      </x:c>
      <x:c r="C19" s="44" t="n">
        <x:v>95</x:v>
      </x:c>
      <x:c r="D19" s="44" t="n">
        <x:v>95</x:v>
      </x:c>
      <x:c r="E19" s="44" t="str">
        <x:v>AM-E01, AM-E02, AM-E03, AM-E04, AM-E05, AM-E06, AM-E07, AM-E08, AM-E09, AM-E10, AM-E11, AM-E12, AM-E13, AM-E14, AM-E15, AM-E16, AM-L01, AM-L02, AM-L03, AM-L04, AM-L05, AM-L06, AM-L07, AM-L08, AM-L09, AM-N01, AM-N02, AM-N03, AM-N04, AM-N05, AM-N06, AM-N07, AM-N08, AM-N09, AM-N10, AM-N11, AM-N12, AM-N13, AM-N14, AM-N15, AM-N16, C07, C08, H01, H02, H03, H04, H05, H06, H07, H08, H10, H11, H12, H13, H14, H15, O01, O03, O05, O06, PR-E01, PR-E02, PR-E04, PR-E05, PR-E07, PR-E09, PR-N01, PR-N02, PR-N03, PR-N05, PR-N06, PR-N07, PR-N08, PR-N09, S01, S02, S03, S04, S05, S06, S07, S08, Y01, Y02, Y03, Y04, Y05, Y06, Y07, Y08, Y10, Y12, Y13, Y14</x:v>
      </x:c>
      <x:c r="F19" s="44" t="str">
        <x:v>HOLD / TARGET GAP</x:v>
      </x:c>
      <x:c r="G19" s="44" t="str">
        <x:v>Keep target gap explicit or obtain exact material; no silent replacement.</x:v>
      </x:c>
      <x:c r="H19" s="44"/>
      <x:c r="I19" s="44" t="str">
        <x:v>neat / as supplied</x:v>
      </x:c>
      <x:c r="J19" s="44" t="str">
        <x:v>Clearwood is out of stock.</x:v>
      </x:c>
    </x:row>
    <x:row r="20" ht="58" customHeight="1">
      <x:c r="A20" s="44" t="str">
        <x:v>Cocoa Absolute 10%</x:v>
      </x:c>
      <x:c r="B20" s="44" t="str">
        <x:v>HAVE — PREPARE 10%</x:v>
      </x:c>
      <x:c r="C20" s="44" t="n">
        <x:v>5</x:v>
      </x:c>
      <x:c r="D20" s="44" t="n">
        <x:v>5</x:v>
      </x:c>
      <x:c r="E20" s="44" t="str">
        <x:v>AM-E12, AM-N10, H01, H07, H08</x:v>
      </x:c>
      <x:c r="F20" s="44" t="str">
        <x:v>RESOLVED • PREPARE STOCK</x:v>
      </x:c>
      <x:c r="G20" s="44" t="str">
        <x:v>Prepare Cocoa Absolute 10% in DPG and preserve formula doses written for the 10% stock.</x:v>
      </x:c>
      <x:c r="H20" s="44" t="str">
        <x:v>Cocoa Absolute as supplied</x:v>
      </x:c>
      <x:c r="I20" s="44" t="str">
        <x:v>10% target-required working dilution</x:v>
      </x:c>
      <x:c r="J20" s="44" t="str">
        <x:v>Exact extract is owned; only the working dilution must be prepared.</x:v>
      </x:c>
    </x:row>
    <x:row r="21" ht="55" customHeight="1">
      <x:c r="A21" s="44" t="str">
        <x:v>Coffee CO2 10%</x:v>
      </x:c>
      <x:c r="B21" s="44" t="str">
        <x:v>GAP — CO2</x:v>
      </x:c>
      <x:c r="C21" s="44" t="n">
        <x:v>1</x:v>
      </x:c>
      <x:c r="D21" s="44" t="n">
        <x:v>1</x:v>
      </x:c>
      <x:c r="E21" s="44" t="str">
        <x:v>H07</x:v>
      </x:c>
      <x:c r="F21" s="44" t="str">
        <x:v>HOLD / TARGET GAP</x:v>
      </x:c>
      <x:c r="G21" s="44" t="str">
        <x:v>Keep target gap explicit or obtain exact material; no silent replacement.</x:v>
      </x:c>
      <x:c r="H21" s="44"/>
      <x:c r="I21" s="44" t="str">
        <x:v>10% target-required working dilution</x:v>
      </x:c>
      <x:c r="J21" s="44" t="str">
        <x:v>No Coffee CO2.</x:v>
      </x:c>
    </x:row>
    <x:row r="22" ht="55" customHeight="1">
      <x:c r="A22" s="44" t="str">
        <x:v>Cognac EO 10%</x:v>
      </x:c>
      <x:c r="B22" s="44" t="str">
        <x:v>GAP</x:v>
      </x:c>
      <x:c r="C22" s="44" t="n">
        <x:v>1</x:v>
      </x:c>
      <x:c r="D22" s="44" t="n">
        <x:v>1</x:v>
      </x:c>
      <x:c r="E22" s="44" t="str">
        <x:v>AM-E02</x:v>
      </x:c>
      <x:c r="F22" s="44" t="str">
        <x:v>HOLD / TARGET GAP</x:v>
      </x:c>
      <x:c r="G22" s="44" t="str">
        <x:v>Keep target gap explicit or obtain exact material; no silent replacement.</x:v>
      </x:c>
      <x:c r="H22" s="44"/>
      <x:c r="I22" s="44" t="str">
        <x:v>10% target-required working dilution</x:v>
      </x:c>
      <x:c r="J22" s="44" t="str">
        <x:v>No Cognac EO.</x:v>
      </x:c>
    </x:row>
    <x:row r="23" ht="55" customHeight="1">
      <x:c r="A23" s="44" t="str">
        <x:v>Cumin EO 10%</x:v>
      </x:c>
      <x:c r="B23" s="44" t="str">
        <x:v>GAP</x:v>
      </x:c>
      <x:c r="C23" s="44" t="n">
        <x:v>1</x:v>
      </x:c>
      <x:c r="D23" s="44" t="n">
        <x:v>1</x:v>
      </x:c>
      <x:c r="E23" s="44" t="str">
        <x:v>AM-N15</x:v>
      </x:c>
      <x:c r="F23" s="44" t="str">
        <x:v>HOLD / TARGET GAP</x:v>
      </x:c>
      <x:c r="G23" s="44" t="str">
        <x:v>Keep target gap explicit or obtain exact material; no silent replacement.</x:v>
      </x:c>
      <x:c r="H23" s="44"/>
      <x:c r="I23" s="44" t="str">
        <x:v>10% target-required working dilution</x:v>
      </x:c>
      <x:c r="J23" s="44" t="str">
        <x:v>No Cumin EO.</x:v>
      </x:c>
    </x:row>
    <x:row r="24" ht="55" customHeight="1">
      <x:c r="A24" s="44" t="str">
        <x:v>Cypress EO</x:v>
      </x:c>
      <x:c r="B24" s="44" t="str">
        <x:v>HAVE — NEAT / RESOLVED</x:v>
      </x:c>
      <x:c r="C24" s="44" t="n">
        <x:v>3</x:v>
      </x:c>
      <x:c r="D24" s="44" t="n">
        <x:v>3</x:v>
      </x:c>
      <x:c r="E24" s="44" t="str">
        <x:v>AM-N10, C05, PR-E04</x:v>
      </x:c>
      <x:c r="F24" s="44" t="str">
        <x:v>RESOLVED • REGENERATE ONLY WHEN FORMULA LANE IS AUTHORIZED</x:v>
      </x:c>
      <x:c r="G24" s="44" t="str">
        <x:v>The three inventory gaps are closed. Preserve existing formula bytes until a separately authorized regeneration.</x:v>
      </x:c>
      <x:c r="H24" s="44" t="str">
        <x:v>Cypress EO neat/as supplied</x:v>
      </x:c>
      <x:c r="I24" s="44" t="str">
        <x:v>target-required authentic material</x:v>
      </x:c>
      <x:c r="J24" s="44" t="str">
        <x:v>User confirmed ownership on 2026-08-07.</x:v>
      </x:c>
    </x:row>
    <x:row r="25" ht="55" customHeight="1">
      <x:c r="A25" s="44" t="str">
        <x:v>Davana EO 10%</x:v>
      </x:c>
      <x:c r="B25" s="44" t="str">
        <x:v>GAP</x:v>
      </x:c>
      <x:c r="C25" s="44" t="n">
        <x:v>1</x:v>
      </x:c>
      <x:c r="D25" s="44" t="n">
        <x:v>1</x:v>
      </x:c>
      <x:c r="E25" s="44" t="str">
        <x:v>AM-N15</x:v>
      </x:c>
      <x:c r="F25" s="44" t="str">
        <x:v>HOLD / TARGET GAP</x:v>
      </x:c>
      <x:c r="G25" s="44" t="str">
        <x:v>Keep target gap explicit or obtain exact material; no silent replacement.</x:v>
      </x:c>
      <x:c r="H25" s="44"/>
      <x:c r="I25" s="44" t="str">
        <x:v>10% target-required working dilution</x:v>
      </x:c>
      <x:c r="J25" s="44" t="str">
        <x:v>Unchanged from prior register.</x:v>
      </x:c>
    </x:row>
    <x:row r="26" ht="55" customHeight="1">
      <x:c r="A26" s="44" t="str">
        <x:v>Fenugreek Accord 10%</x:v>
      </x:c>
      <x:c r="B26" s="44" t="str">
        <x:v>GAP</x:v>
      </x:c>
      <x:c r="C26" s="44" t="n">
        <x:v>1</x:v>
      </x:c>
      <x:c r="D26" s="44" t="n">
        <x:v>1</x:v>
      </x:c>
      <x:c r="E26" s="44" t="str">
        <x:v>AM-N07</x:v>
      </x:c>
      <x:c r="F26" s="44" t="str">
        <x:v>HOLD / TARGET GAP</x:v>
      </x:c>
      <x:c r="G26" s="44" t="str">
        <x:v>Keep target gap explicit or obtain exact material; no silent replacement.</x:v>
      </x:c>
      <x:c r="H26" s="44"/>
      <x:c r="I26" s="44" t="str">
        <x:v>10% target-required accord</x:v>
      </x:c>
      <x:c r="J26" s="44" t="str">
        <x:v>Unchanged from prior register.</x:v>
      </x:c>
    </x:row>
    <x:row r="27" ht="55" customHeight="1">
      <x:c r="A27" s="44" t="str">
        <x:v>Fir Balsam Absolute 10%</x:v>
      </x:c>
      <x:c r="B27" s="44" t="str">
        <x:v>GAP</x:v>
      </x:c>
      <x:c r="C27" s="44" t="n">
        <x:v>1</x:v>
      </x:c>
      <x:c r="D27" s="44" t="n">
        <x:v>1</x:v>
      </x:c>
      <x:c r="E27" s="44" t="str">
        <x:v>AM-N10</x:v>
      </x:c>
      <x:c r="F27" s="44" t="str">
        <x:v>HOLD / TARGET GAP</x:v>
      </x:c>
      <x:c r="G27" s="44" t="str">
        <x:v>Keep target gap explicit or obtain exact material; no silent replacement.</x:v>
      </x:c>
      <x:c r="H27" s="44"/>
      <x:c r="I27" s="44" t="str">
        <x:v>10% target-required working dilution</x:v>
      </x:c>
      <x:c r="J27" s="44" t="str">
        <x:v>Unchanged from prior register.</x:v>
      </x:c>
    </x:row>
    <x:row r="28" ht="58" customHeight="1">
      <x:c r="A28" s="44" t="str">
        <x:v>Galbanum Resinoid 10%</x:v>
      </x:c>
      <x:c r="B28" s="44" t="str">
        <x:v>GAP — EO AVAILABLE</x:v>
      </x:c>
      <x:c r="C28" s="44" t="n">
        <x:v>1</x:v>
      </x:c>
      <x:c r="D28" s="44" t="n">
        <x:v>1</x:v>
      </x:c>
      <x:c r="E28" s="44" t="str">
        <x:v>AM-L05</x:v>
      </x:c>
      <x:c r="F28" s="44" t="str">
        <x:v>HOLD / EXTRACTION MISMATCH</x:v>
      </x:c>
      <x:c r="G28" s="44" t="str">
        <x:v>Keep the resinoid gap explicit; a 10% dilution of Galbanum EO is a different material and requires target-specific approval.</x:v>
      </x:c>
      <x:c r="H28" s="44" t="str">
        <x:v>Galbanum EO neat</x:v>
      </x:c>
      <x:c r="I28" s="44" t="str">
        <x:v>10% target-required working dilution</x:v>
      </x:c>
      <x:c r="J28" s="44" t="str">
        <x:v>EO and resinoid are different extracts.</x:v>
      </x:c>
    </x:row>
    <x:row r="29" ht="55" customHeight="1">
      <x:c r="A29" s="44" t="str">
        <x:v>Globanone 50%</x:v>
      </x:c>
      <x:c r="B29" s="44" t="str">
        <x:v>GAP</x:v>
      </x:c>
      <x:c r="C29" s="44" t="n">
        <x:v>49</x:v>
      </x:c>
      <x:c r="D29" s="44" t="n">
        <x:v>49</x:v>
      </x:c>
      <x:c r="E29" s="44" t="str">
        <x:v>AM-E01, AM-E02, AM-E03, AM-E04, AM-E05, AM-E06, AM-E07, AM-E08, AM-E09, AM-E10, AM-E11, AM-E12, AM-E13, AM-E14, AM-E15, AM-E16, AM-L01, AM-L02, AM-L03, AM-L04, AM-L05, AM-L06, AM-L07, AM-L08, AM-L09, AM-N01, AM-N02, AM-N03, AM-N04, AM-N05, AM-N06, AM-N07, AM-N08, AM-N09, AM-N10, AM-N11, AM-N12, AM-N13, AM-N14, AM-N15, AM-N16, C07, C08, PR-E06, PR-E07, PR-E09, PR-N06, Y01, Y08</x:v>
      </x:c>
      <x:c r="F29" s="44" t="str">
        <x:v>HOLD / TARGET GAP</x:v>
      </x:c>
      <x:c r="G29" s="44" t="str">
        <x:v>Keep target gap explicit or obtain exact material; no silent replacement.</x:v>
      </x:c>
      <x:c r="H29" s="44"/>
      <x:c r="I29" s="44" t="str">
        <x:v>50% in DPG</x:v>
      </x:c>
      <x:c r="J29" s="44" t="str">
        <x:v>No Globanone.</x:v>
      </x:c>
    </x:row>
    <x:row r="30" ht="55" customHeight="1">
      <x:c r="A30" s="44" t="str">
        <x:v>Guaiacwood EO</x:v>
      </x:c>
      <x:c r="B30" s="44" t="str">
        <x:v>GAP</x:v>
      </x:c>
      <x:c r="C30" s="44" t="n">
        <x:v>15</x:v>
      </x:c>
      <x:c r="D30" s="44" t="n">
        <x:v>15</x:v>
      </x:c>
      <x:c r="E30" s="44" t="str">
        <x:v>AM-E01, AM-E03, AM-E04, AM-E05, AM-E06, AM-E07, AM-E13, AM-L09, AM-N01, AM-N07, AM-N08, AM-N09, AM-N15, PR-E09, PR-N06</x:v>
      </x:c>
      <x:c r="F30" s="44" t="str">
        <x:v>HOLD / TARGET GAP</x:v>
      </x:c>
      <x:c r="G30" s="44" t="str">
        <x:v>Keep target gap explicit or obtain exact material; no silent replacement.</x:v>
      </x:c>
      <x:c r="H30" s="44"/>
      <x:c r="I30" s="44" t="str">
        <x:v>target-required authentic material</x:v>
      </x:c>
      <x:c r="J30" s="44" t="str">
        <x:v>Unchanged from prior register.</x:v>
      </x:c>
    </x:row>
    <x:row r="31" ht="58" customHeight="1">
      <x:c r="A31" s="44" t="str">
        <x:v>Hazelnut Accord 10%</x:v>
      </x:c>
      <x:c r="B31" s="44" t="str">
        <x:v>CONSTRUCTIBLE ACCORD — NOT YET MIXED</x:v>
      </x:c>
      <x:c r="C31" s="44" t="n">
        <x:v>1</x:v>
      </x:c>
      <x:c r="D31" s="44" t="n">
        <x:v>1</x:v>
      </x:c>
      <x:c r="E31" s="44" t="str">
        <x:v>AM-N13</x:v>
      </x:c>
      <x:c r="F31" s="44" t="str">
        <x:v>CONSTRUCTIBLE FUNCTIONAL ACCORD</x:v>
      </x:c>
      <x:c r="G31" s="44" t="str">
        <x:v>Build the accord from the dedicated recipe, evaluate it alone, then use it only as a disclosed functional reconstruction.</x:v>
      </x:c>
      <x:c r="H31" s="44" t="str">
        <x:v>Hazelnut-Praline Accord v0.1 can be built from 2-Acetyl Pyrazine 1%, Cocoa Absolute 10%, Cocoa CO2 7.7%, Isobutavan, Vanillin, Tonka, Coumarin and supporting materials.</x:v>
      </x:c>
      <x:c r="I31" s="44" t="str">
        <x:v>10% target-required accord</x:v>
      </x:c>
      <x:c r="J31" s="44" t="str">
        <x:v>2-Acetyl Pyrazine alone is not a hazelnut accord.</x:v>
      </x:c>
    </x:row>
    <x:row r="32" ht="55" customHeight="1">
      <x:c r="A32" s="44" t="str">
        <x:v>Honey Accord 10%</x:v>
      </x:c>
      <x:c r="B32" s="44" t="str">
        <x:v>GAP</x:v>
      </x:c>
      <x:c r="C32" s="44" t="n">
        <x:v>2</x:v>
      </x:c>
      <x:c r="D32" s="44" t="n">
        <x:v>2</x:v>
      </x:c>
      <x:c r="E32" s="44" t="str">
        <x:v>AM-E05, O06</x:v>
      </x:c>
      <x:c r="F32" s="44" t="str">
        <x:v>HOLD / TARGET GAP</x:v>
      </x:c>
      <x:c r="G32" s="44" t="str">
        <x:v>Keep target gap explicit or obtain exact material; no silent replacement.</x:v>
      </x:c>
      <x:c r="H32" s="44"/>
      <x:c r="I32" s="44" t="str">
        <x:v>10% target-required accord</x:v>
      </x:c>
      <x:c r="J32" s="44" t="str">
        <x:v>Unchanged from prior register.</x:v>
      </x:c>
    </x:row>
    <x:row r="33" ht="55" customHeight="1">
      <x:c r="A33" s="44" t="str">
        <x:v>Ivy Green Accord 10%</x:v>
      </x:c>
      <x:c r="B33" s="44" t="str">
        <x:v>GAP</x:v>
      </x:c>
      <x:c r="C33" s="44" t="n">
        <x:v>1</x:v>
      </x:c>
      <x:c r="D33" s="44" t="n">
        <x:v>1</x:v>
      </x:c>
      <x:c r="E33" s="44" t="str">
        <x:v>AM-L05</x:v>
      </x:c>
      <x:c r="F33" s="44" t="str">
        <x:v>HOLD / TARGET GAP</x:v>
      </x:c>
      <x:c r="G33" s="44" t="str">
        <x:v>Keep target gap explicit or obtain exact material; no silent replacement.</x:v>
      </x:c>
      <x:c r="H33" s="44"/>
      <x:c r="I33" s="44" t="str">
        <x:v>10% target-required accord</x:v>
      </x:c>
      <x:c r="J33" s="44" t="str">
        <x:v>Unchanged from prior register.</x:v>
      </x:c>
    </x:row>
    <x:row r="34" ht="55" customHeight="1">
      <x:c r="A34" s="44" t="str">
        <x:v>Jasmonyl</x:v>
      </x:c>
      <x:c r="B34" s="44" t="str">
        <x:v>GAP — DISTINCT MATERIAL</x:v>
      </x:c>
      <x:c r="C34" s="44" t="n">
        <x:v>38</x:v>
      </x:c>
      <x:c r="D34" s="44" t="n">
        <x:v>38</x:v>
      </x:c>
      <x:c r="E34" s="44" t="str">
        <x:v>AM-E01, AM-E02, AM-E03, AM-E04, AM-E05, AM-E06, AM-E07, AM-E08, AM-E09, AM-E10, AM-E13, AM-E14, AM-E15, AM-L01, AM-L02, AM-L03, AM-L04, AM-L06, AM-L08, AM-L09, AM-N01, AM-N02, AM-N04, AM-N05, AM-N06, AM-N07, AM-N08, AM-N09, AM-N11, AM-N12, AM-N13, AM-N15, AM-N16, C07, PR-E01, PR-L03, PR-L05, PR-N04</x:v>
      </x:c>
      <x:c r="F34" s="44" t="str">
        <x:v>HOLD / TARGET GAP</x:v>
      </x:c>
      <x:c r="G34" s="44" t="str">
        <x:v>Keep target gap explicit or obtain exact material; no silent replacement.</x:v>
      </x:c>
      <x:c r="H34" s="44"/>
      <x:c r="I34" s="44" t="str">
        <x:v>as supplied</x:v>
      </x:c>
      <x:c r="J34" s="44" t="str">
        <x:v>User does not report owning Jasmonyl and asked what it is.</x:v>
      </x:c>
    </x:row>
    <x:row r="35" ht="58" customHeight="1">
      <x:c r="A35" s="44" t="str">
        <x:v>Licorice Accord 10%</x:v>
      </x:c>
      <x:c r="B35" s="44" t="str">
        <x:v>CONSTRUCTIBLE ACCORD — NOT YET MIXED</x:v>
      </x:c>
      <x:c r="C35" s="44" t="n">
        <x:v>1</x:v>
      </x:c>
      <x:c r="D35" s="44" t="n">
        <x:v>1</x:v>
      </x:c>
      <x:c r="E35" s="44" t="str">
        <x:v>PR-E04</x:v>
      </x:c>
      <x:c r="F35" s="44" t="str">
        <x:v>CONSTRUCTIBLE FUNCTIONAL ACCORD</x:v>
      </x:c>
      <x:c r="G35" s="44" t="str">
        <x:v>Build the accord from the dedicated recipe, evaluate it alone, then use it only as a disclosed functional reconstruction.</x:v>
      </x:c>
      <x:c r="H35" s="44" t="str">
        <x:v>Licorice Accord v0.1 can be built from Anisaldehyde 10%, Anise EO 1%, Coumarin 20%, Vanillin 10%, Immortelle Absolute 10%, Benzoin and supporting dark traces.</x:v>
      </x:c>
      <x:c r="I35" s="44" t="str">
        <x:v>10% target-required accord</x:v>
      </x:c>
      <x:c r="J35" s="44" t="str">
        <x:v>Anise EO alone is not a complete licorice accord.</x:v>
      </x:c>
    </x:row>
    <x:row r="36" ht="55" customHeight="1">
      <x:c r="A36" s="44" t="str">
        <x:v>Marjoram EO 10%</x:v>
      </x:c>
      <x:c r="B36" s="44" t="str">
        <x:v>GAP</x:v>
      </x:c>
      <x:c r="C36" s="44" t="n">
        <x:v>1</x:v>
      </x:c>
      <x:c r="D36" s="44" t="n">
        <x:v>1</x:v>
      </x:c>
      <x:c r="E36" s="44" t="str">
        <x:v>AM-L09</x:v>
      </x:c>
      <x:c r="F36" s="44" t="str">
        <x:v>HOLD / TARGET GAP</x:v>
      </x:c>
      <x:c r="G36" s="44" t="str">
        <x:v>Keep target gap explicit or obtain exact material; no silent replacement.</x:v>
      </x:c>
      <x:c r="H36" s="44"/>
      <x:c r="I36" s="44" t="str">
        <x:v>10% target-required working dilution</x:v>
      </x:c>
      <x:c r="J36" s="44" t="str">
        <x:v>Marjoram EO remains a gap.</x:v>
      </x:c>
    </x:row>
    <x:row r="37" ht="55" customHeight="1">
      <x:c r="A37" s="44" t="str">
        <x:v>Myrrh Resinoid 50%</x:v>
      </x:c>
      <x:c r="B37" s="44" t="str">
        <x:v>GAP</x:v>
      </x:c>
      <x:c r="C37" s="44" t="n">
        <x:v>7</x:v>
      </x:c>
      <x:c r="D37" s="44" t="n">
        <x:v>7</x:v>
      </x:c>
      <x:c r="E37" s="44" t="str">
        <x:v>AM-E07, AM-E10, AM-N02, AM-N05, AM-N14, AM-N16, PR-E08</x:v>
      </x:c>
      <x:c r="F37" s="44" t="str">
        <x:v>HOLD / TARGET GAP</x:v>
      </x:c>
      <x:c r="G37" s="44" t="str">
        <x:v>Keep target gap explicit or obtain exact material; no silent replacement.</x:v>
      </x:c>
      <x:c r="H37" s="44"/>
      <x:c r="I37" s="44" t="str">
        <x:v>50% target-required working dilution</x:v>
      </x:c>
      <x:c r="J37" s="44" t="str">
        <x:v>Unchanged from prior register.</x:v>
      </x:c>
    </x:row>
    <x:row r="38" ht="55" customHeight="1">
      <x:c r="A38" s="44" t="str">
        <x:v>Nutmeg EO</x:v>
      </x:c>
      <x:c r="B38" s="44" t="str">
        <x:v>GAP</x:v>
      </x:c>
      <x:c r="C38" s="44" t="n">
        <x:v>44</x:v>
      </x:c>
      <x:c r="D38" s="44" t="n">
        <x:v>44</x:v>
      </x:c>
      <x:c r="E38" s="44" t="str">
        <x:v>AM-E01, AM-E02, AM-E03, AM-E04, AM-E05, AM-E06, AM-E07, AM-E08, AM-E09, AM-E10, AM-E11, AM-E12, AM-E13, AM-E14, AM-E15, AM-E16, AM-L01, AM-L02, AM-L03, AM-L04, AM-L05, AM-L06, AM-L07, AM-L08, AM-L09, AM-N01, AM-N02, AM-N03, AM-N04, AM-N05, AM-N06, AM-N07, AM-N08, AM-N09, AM-N10, AM-N11, AM-N12, AM-N13, AM-N14, AM-N15, AM-N16, PR-N12, Y01, Y08</x:v>
      </x:c>
      <x:c r="F38" s="44" t="str">
        <x:v>HOLD / TARGET GAP</x:v>
      </x:c>
      <x:c r="G38" s="44" t="str">
        <x:v>Keep target gap explicit or obtain exact material; no silent replacement.</x:v>
      </x:c>
      <x:c r="H38" s="44"/>
      <x:c r="I38" s="44" t="str">
        <x:v>neat</x:v>
      </x:c>
      <x:c r="J38" s="44" t="str">
        <x:v>No Nutmeg EO yet.</x:v>
      </x:c>
    </x:row>
    <x:row r="39" ht="55" customHeight="1">
      <x:c r="A39" s="44" t="str">
        <x:v>Oakwood CO2 10%</x:v>
      </x:c>
      <x:c r="B39" s="44" t="str">
        <x:v>GAP</x:v>
      </x:c>
      <x:c r="C39" s="44" t="n">
        <x:v>4</x:v>
      </x:c>
      <x:c r="D39" s="44" t="n">
        <x:v>4</x:v>
      </x:c>
      <x:c r="E39" s="44" t="str">
        <x:v>AM-N09, AM-N10, AM-N15, PR-E07</x:v>
      </x:c>
      <x:c r="F39" s="44" t="str">
        <x:v>HOLD / TARGET GAP</x:v>
      </x:c>
      <x:c r="G39" s="44" t="str">
        <x:v>Keep target gap explicit or obtain exact material; no silent replacement.</x:v>
      </x:c>
      <x:c r="H39" s="44"/>
      <x:c r="I39" s="44" t="str">
        <x:v>10% target-required working dilution</x:v>
      </x:c>
      <x:c r="J39" s="44" t="str">
        <x:v>No Oakwood CO2.</x:v>
      </x:c>
    </x:row>
    <x:row r="40" ht="58" customHeight="1">
      <x:c r="A40" s="44" t="str">
        <x:v>Orange Blossom Absolute 10%</x:v>
      </x:c>
      <x:c r="B40" s="44" t="str">
        <x:v>CONSTRUCTIBLE FUNCTIONAL ACCORD — NOT ABSOLUTE</x:v>
      </x:c>
      <x:c r="C40" s="44" t="n">
        <x:v>3</x:v>
      </x:c>
      <x:c r="D40" s="44" t="n">
        <x:v>3</x:v>
      </x:c>
      <x:c r="E40" s="44" t="str">
        <x:v>AM-N15, Y03, Y04</x:v>
      </x:c>
      <x:c r="F40" s="44" t="str">
        <x:v>CONSTRUCTIBLE FUNCTIONAL ACCORD</x:v>
      </x:c>
      <x:c r="G40" s="44" t="str">
        <x:v>Build the accord from the dedicated recipe, evaluate it alone, then use it only as a disclosed functional reconstruction.</x:v>
      </x:c>
      <x:c r="H40" s="44" t="str">
        <x:v>Orange Blossom Accord v0.1 can be built from Neroli EO 10%, Nerol, Nerolidol, Oranger Crystals 10%, Methyl Anthranilate 10%, Aurantiol 10%, Hedione and supporting florals.</x:v>
      </x:c>
      <x:c r="I40" s="44" t="str">
        <x:v>10% target-required working dilution</x:v>
      </x:c>
      <x:c r="J40" s="44" t="str">
        <x:v>A reconstructed accord is not solvent-extracted Orange Blossom Absolute.</x:v>
      </x:c>
    </x:row>
    <x:row r="41" ht="55" customHeight="1">
      <x:c r="A41" s="44" t="str">
        <x:v>Oregano EO 10%</x:v>
      </x:c>
      <x:c r="B41" s="44" t="str">
        <x:v>GAP</x:v>
      </x:c>
      <x:c r="C41" s="44" t="n">
        <x:v>1</x:v>
      </x:c>
      <x:c r="D41" s="44" t="n">
        <x:v>1</x:v>
      </x:c>
      <x:c r="E41" s="44" t="str">
        <x:v>AM-E03</x:v>
      </x:c>
      <x:c r="F41" s="44" t="str">
        <x:v>HOLD / TARGET GAP</x:v>
      </x:c>
      <x:c r="G41" s="44" t="str">
        <x:v>Keep target gap explicit or obtain exact material; no silent replacement.</x:v>
      </x:c>
      <x:c r="H41" s="44"/>
      <x:c r="I41" s="44" t="str">
        <x:v>10% target-required working dilution</x:v>
      </x:c>
      <x:c r="J41" s="44" t="str">
        <x:v>Unchanged from prior register.</x:v>
      </x:c>
    </x:row>
    <x:row r="42" ht="58" customHeight="1">
      <x:c r="A42" s="44" t="str">
        <x:v>Papyrus / Cypriol EO</x:v>
      </x:c>
      <x:c r="B42" s="44" t="str">
        <x:v>HAVE — CYPRIOL VIA NAGARMOTHA</x:v>
      </x:c>
      <x:c r="C42" s="44" t="n">
        <x:v>5</x:v>
      </x:c>
      <x:c r="D42" s="44" t="n">
        <x:v>5</x:v>
      </x:c>
      <x:c r="E42" s="44" t="str">
        <x:v>AM-E12, AM-N03, AM-N08, AM-N16, PR-N14</x:v>
      </x:c>
      <x:c r="F42" s="44" t="str">
        <x:v>RESOLVED FOR CYPRIOL • PAPYRUS HOLD</x:v>
      </x:c>
      <x:c r="G42" s="44" t="str">
        <x:v>Map cypriol/nagarmotha rows to Nagarmotha Oil. Do not claim papyrus equivalence.</x:v>
      </x:c>
      <x:c r="H42" s="44" t="str">
        <x:v>Nagarmotha Oil neat</x:v>
      </x:c>
      <x:c r="I42" s="44" t="str">
        <x:v>target-required authentic material</x:v>
      </x:c>
      <x:c r="J42" s="44" t="str">
        <x:v>Cypriol and Nagarmotha are the same botanical material family; papyrus remains distinct.</x:v>
      </x:c>
    </x:row>
    <x:row r="43" ht="58" customHeight="1">
      <x:c r="A43" s="44" t="str">
        <x:v>Pear Accord 10%</x:v>
      </x:c>
      <x:c r="B43" s="44" t="str">
        <x:v>CONSTRUCTIBLE ACCORD — NOT YET MIXED</x:v>
      </x:c>
      <x:c r="C43" s="44" t="n">
        <x:v>1</x:v>
      </x:c>
      <x:c r="D43" s="44" t="n">
        <x:v>1</x:v>
      </x:c>
      <x:c r="E43" s="44" t="str">
        <x:v>AM-N13</x:v>
      </x:c>
      <x:c r="F43" s="44" t="str">
        <x:v>CONSTRUCTIBLE FUNCTIONAL ACCORD</x:v>
      </x:c>
      <x:c r="G43" s="44" t="str">
        <x:v>Build the accord from the dedicated recipe, evaluate it alone, then use it only as a disclosed functional reconstruction.</x:v>
      </x:c>
      <x:c r="H43" s="44" t="str">
        <x:v>Green Pear Accord v0.1 can be built from Hexyl Acetate, Verdox, Verdyl Acetate, AAG 10%, Melonal 1%, Benzyl Acetate, Gamma Undecalactone and supporting traces.</x:v>
      </x:c>
      <x:c r="I43" s="44" t="str">
        <x:v>10% target-required accord</x:v>
      </x:c>
      <x:c r="J43" s="44" t="str">
        <x:v>This is a functional green-pear accord, not a disclosed proprietary pear base.</x:v>
      </x:c>
    </x:row>
    <x:row r="44" ht="55" customHeight="1">
      <x:c r="A44" s="44" t="str">
        <x:v>Petitgrain EO</x:v>
      </x:c>
      <x:c r="B44" s="44" t="str">
        <x:v>GAP</x:v>
      </x:c>
      <x:c r="C44" s="44" t="n">
        <x:v>1</x:v>
      </x:c>
      <x:c r="D44" s="44" t="n">
        <x:v>1</x:v>
      </x:c>
      <x:c r="E44" s="44" t="str">
        <x:v>PR-E04</x:v>
      </x:c>
      <x:c r="F44" s="44" t="str">
        <x:v>HOLD / TARGET GAP</x:v>
      </x:c>
      <x:c r="G44" s="44" t="str">
        <x:v>Keep target gap explicit or obtain exact material; no silent replacement.</x:v>
      </x:c>
      <x:c r="H44" s="44"/>
      <x:c r="I44" s="44" t="str">
        <x:v>neat / as supplied</x:v>
      </x:c>
      <x:c r="J44" s="44" t="str">
        <x:v>No generic Petitgrain EO.</x:v>
      </x:c>
    </x:row>
    <x:row r="45" ht="55" customHeight="1">
      <x:c r="A45" s="44" t="str">
        <x:v>Pink Pepper EO / CO2</x:v>
      </x:c>
      <x:c r="B45" s="44" t="str">
        <x:v>GAP</x:v>
      </x:c>
      <x:c r="C45" s="44" t="n">
        <x:v>8</x:v>
      </x:c>
      <x:c r="D45" s="44" t="n">
        <x:v>8</x:v>
      </x:c>
      <x:c r="E45" s="44" t="str">
        <x:v>AM-N03, AM-N10, AM-N14, AM-N15, C05, PR-L04, S02, Y10</x:v>
      </x:c>
      <x:c r="F45" s="44" t="str">
        <x:v>HOLD / TARGET GAP</x:v>
      </x:c>
      <x:c r="G45" s="44" t="str">
        <x:v>Keep target gap explicit or obtain exact material; no silent replacement.</x:v>
      </x:c>
      <x:c r="H45" s="44"/>
      <x:c r="I45" s="44" t="str">
        <x:v>target-required authentic material</x:v>
      </x:c>
      <x:c r="J45" s="44" t="str">
        <x:v>Unchanged from prior register.</x:v>
      </x:c>
    </x:row>
    <x:row r="46" ht="55" customHeight="1">
      <x:c r="A46" s="44" t="str">
        <x:v>Prunol / Plum Accord 10%</x:v>
      </x:c>
      <x:c r="B46" s="44" t="str">
        <x:v>GAP</x:v>
      </x:c>
      <x:c r="C46" s="44" t="n">
        <x:v>2</x:v>
      </x:c>
      <x:c r="D46" s="44" t="n">
        <x:v>2</x:v>
      </x:c>
      <x:c r="E46" s="44" t="str">
        <x:v>AM-E05, AM-E13</x:v>
      </x:c>
      <x:c r="F46" s="44" t="str">
        <x:v>HOLD / TARGET GAP</x:v>
      </x:c>
      <x:c r="G46" s="44" t="str">
        <x:v>Keep target gap explicit or obtain exact material; no silent replacement.</x:v>
      </x:c>
      <x:c r="H46" s="44"/>
      <x:c r="I46" s="44" t="str">
        <x:v>10% target-required accord</x:v>
      </x:c>
      <x:c r="J46" s="44" t="str">
        <x:v>Unchanged from prior register.</x:v>
      </x:c>
    </x:row>
    <x:row r="47" ht="55" customHeight="1">
      <x:c r="A47" s="44" t="str">
        <x:v>Red Mandarin EO</x:v>
      </x:c>
      <x:c r="B47" s="44" t="str">
        <x:v>OUT OF STOCK — CONFIRMED</x:v>
      </x:c>
      <x:c r="C47" s="44" t="n">
        <x:v>54</x:v>
      </x:c>
      <x:c r="D47" s="44" t="n">
        <x:v>54</x:v>
      </x:c>
      <x:c r="E47" s="44" t="str">
        <x:v>AM-E01, AM-E02, AM-E03, AM-E04, AM-E05, AM-E06, AM-E07, AM-E08, AM-E09, AM-E10, AM-E12, AM-E13, AM-E14, AM-E15, AM-E16, AM-L01, AM-L02, AM-L03, AM-L04, AM-L06, AM-L07, AM-L08, AM-L09, AM-N01, AM-N02, AM-N03, AM-N04, AM-N05, AM-N06, AM-N07, AM-N09, AM-N10, AM-N11, AM-N12, AM-N13, AM-N14, AM-N15, AM-N16, C03, C05, H08, PR-L02, PR-L03, PR-L04, PR-L05, PR-N03, PR-N04, PR-N10, PR-N11, PR-N12, PR-N13, PR-N14, S05, Y14</x:v>
      </x:c>
      <x:c r="F47" s="44" t="str">
        <x:v>HOLD / TARGET GAP</x:v>
      </x:c>
      <x:c r="G47" s="44" t="str">
        <x:v>Preserve Red Mandarin target rows and keep formulas on stock hold; do not substitute blood orange or orange peel silently.</x:v>
      </x:c>
      <x:c r="H47" s="44"/>
      <x:c r="I47" s="44" t="str">
        <x:v>neat / as supplied</x:v>
      </x:c>
      <x:c r="J47" s="44" t="str">
        <x:v>User explicitly marked Red Mandarin EO out of stock on 2026-08-07.</x:v>
      </x:c>
    </x:row>
    <x:row r="48" ht="58" customHeight="1">
      <x:c r="A48" s="44" t="str">
        <x:v>Rose Absolute 10%</x:v>
      </x:c>
      <x:c r="B48" s="44" t="str">
        <x:v>HAVE — ROSE DE MAI ABSOLUTE 10%</x:v>
      </x:c>
      <x:c r="C48" s="44" t="n">
        <x:v>2</x:v>
      </x:c>
      <x:c r="D48" s="44" t="n">
        <x:v>2</x:v>
      </x:c>
      <x:c r="E48" s="44" t="str">
        <x:v>AM-E05, AM-N05</x:v>
      </x:c>
      <x:c r="F48" s="44" t="str">
        <x:v>RESOLVED WITH SPECIES BOUNDARY</x:v>
      </x:c>
      <x:c r="G48" s="44" t="str">
        <x:v>Use the Rose de Mai 10% stock only where the source supports it or permits a functional rose-absolute substitute.</x:v>
      </x:c>
      <x:c r="H48" s="44" t="str">
        <x:v>Rose de Mai Absolute 10% in DPG</x:v>
      </x:c>
      <x:c r="I48" s="44" t="str">
        <x:v>10% target-required working dilution</x:v>
      </x:c>
      <x:c r="J48" s="44" t="str">
        <x:v>The stock is a genuine rose absolute, but its botanical identity remains target-relevant.</x:v>
      </x:c>
    </x:row>
    <x:row r="49" ht="55" customHeight="1">
      <x:c r="A49" s="44" t="str">
        <x:v>Rum Accord 10%</x:v>
      </x:c>
      <x:c r="B49" s="44" t="str">
        <x:v>GAP</x:v>
      </x:c>
      <x:c r="C49" s="44" t="n">
        <x:v>3</x:v>
      </x:c>
      <x:c r="D49" s="44" t="n">
        <x:v>3</x:v>
      </x:c>
      <x:c r="E49" s="44" t="str">
        <x:v>AM-E01, H05, Y03</x:v>
      </x:c>
      <x:c r="F49" s="44" t="str">
        <x:v>HOLD / TARGET GAP</x:v>
      </x:c>
      <x:c r="G49" s="44" t="str">
        <x:v>Keep target gap explicit or obtain exact material; no silent replacement.</x:v>
      </x:c>
      <x:c r="H49" s="44"/>
      <x:c r="I49" s="44" t="str">
        <x:v>10% target-required accord</x:v>
      </x:c>
      <x:c r="J49" s="44" t="str">
        <x:v>Unchanged from prior register.</x:v>
      </x:c>
    </x:row>
    <x:row r="50" ht="55" customHeight="1">
      <x:c r="A50" s="44" t="str">
        <x:v>Spearmint EO</x:v>
      </x:c>
      <x:c r="B50" s="44" t="str">
        <x:v>GAP — SPEARMINT</x:v>
      </x:c>
      <x:c r="C50" s="44" t="n">
        <x:v>4</x:v>
      </x:c>
      <x:c r="D50" s="44" t="n">
        <x:v>4</x:v>
      </x:c>
      <x:c r="E50" s="44" t="str">
        <x:v>AM-E08, AM-E11, AM-N02, PR-N01</x:v>
      </x:c>
      <x:c r="F50" s="44" t="str">
        <x:v>HOLD / TARGET GAP</x:v>
      </x:c>
      <x:c r="G50" s="44" t="str">
        <x:v>Keep target gap explicit or obtain exact material; no silent replacement.</x:v>
      </x:c>
      <x:c r="H50" s="44" t="str">
        <x:v>Peppermint EO available as a separate material</x:v>
      </x:c>
      <x:c r="I50" s="44" t="str">
        <x:v>target-required authentic material</x:v>
      </x:c>
      <x:c r="J50" s="44" t="str">
        <x:v>User has peppermint, not spearmint.</x:v>
      </x:c>
    </x:row>
    <x:row r="51" ht="55" customHeight="1">
      <x:c r="A51" s="44" t="str">
        <x:v>White Pepper Accord 10%</x:v>
      </x:c>
      <x:c r="B51" s="44" t="str">
        <x:v>GAP</x:v>
      </x:c>
      <x:c r="C51" s="44" t="n">
        <x:v>3</x:v>
      </x:c>
      <x:c r="D51" s="44" t="n">
        <x:v>3</x:v>
      </x:c>
      <x:c r="E51" s="44" t="str">
        <x:v>PR-L04, S02, Y01</x:v>
      </x:c>
      <x:c r="F51" s="44" t="str">
        <x:v>HOLD / TARGET GAP</x:v>
      </x:c>
      <x:c r="G51" s="44" t="str">
        <x:v>Keep target gap explicit or obtain exact material; no silent replacement.</x:v>
      </x:c>
      <x:c r="H51" s="44" t="str">
        <x:v>Black Pepper EO only</x:v>
      </x:c>
      <x:c r="I51" s="44" t="str">
        <x:v>10% functional accord in DPG</x:v>
      </x:c>
      <x:c r="J51" s="44" t="str">
        <x:v>No White Pepper Accord.</x:v>
      </x:c>
    </x:row>
    <x:row r="52" ht="55" customHeight="1">
      <x:c r="A52" s="44" t="str">
        <x:v>White Pepper EO / CO2</x:v>
      </x:c>
      <x:c r="B52" s="44" t="str">
        <x:v>GAP</x:v>
      </x:c>
      <x:c r="C52" s="44" t="n">
        <x:v>6</x:v>
      </x:c>
      <x:c r="D52" s="44" t="n">
        <x:v>6</x:v>
      </x:c>
      <x:c r="E52" s="44" t="str">
        <x:v>H13, H14, PR-L04, S02, Y07, Y09</x:v>
      </x:c>
      <x:c r="F52" s="44" t="str">
        <x:v>HOLD / TARGET GAP</x:v>
      </x:c>
      <x:c r="G52" s="44" t="str">
        <x:v>Keep target gap explicit or obtain exact material; no silent replacement.</x:v>
      </x:c>
      <x:c r="H52" s="44" t="str">
        <x:v>Black Pepper EO only</x:v>
      </x:c>
      <x:c r="I52" s="44" t="str">
        <x:v>target-required authentic material</x:v>
      </x:c>
      <x:c r="J52" s="44" t="str">
        <x:v>No White Pepper EO/CO2.</x:v>
      </x:c>
    </x:row>
    <x:row r="53" ht="55" customHeight="1">
      <x:c r="A53" s="44" t="str">
        <x:v>Wormwood / Absinthe EO 10%</x:v>
      </x:c>
      <x:c r="B53" s="44" t="str">
        <x:v>GAP</x:v>
      </x:c>
      <x:c r="C53" s="44" t="n">
        <x:v>1</x:v>
      </x:c>
      <x:c r="D53" s="44" t="n">
        <x:v>1</x:v>
      </x:c>
      <x:c r="E53" s="44" t="str">
        <x:v>AM-E08</x:v>
      </x:c>
      <x:c r="F53" s="44" t="str">
        <x:v>HOLD / TARGET GAP</x:v>
      </x:c>
      <x:c r="G53" s="44" t="str">
        <x:v>Keep target gap explicit or obtain exact material; no silent replacement.</x:v>
      </x:c>
      <x:c r="H53" s="44"/>
      <x:c r="I53" s="44" t="str">
        <x:v>10% target-required working dilution</x:v>
      </x:c>
      <x:c r="J53" s="44" t="str">
        <x:v>Unchanged from prior register.</x:v>
      </x:c>
    </x:row>
    <x:row r="54" ht="58" customHeight="1">
      <x:c r="A54" s="44" t="str">
        <x:v>Metallic Linen Aldehyde Accord 10%</x:v>
      </x:c>
      <x:c r="B54" s="44" t="str">
        <x:v>CONSTRUCTIBLE FUNCTIONAL ACCORD — NOT YET MIXED</x:v>
      </x:c>
      <x:c r="C54" s="44" t="n">
        <x:v>1</x:v>
      </x:c>
      <x:c r="D54" s="44" t="n">
        <x:v>1</x:v>
      </x:c>
      <x:c r="E54" s="44" t="str">
        <x:v>PR-E01</x:v>
      </x:c>
      <x:c r="F54" s="44" t="str">
        <x:v>CONSTRUCTIBLE FUNCTIONAL ACCORD</x:v>
      </x:c>
      <x:c r="G54" s="44" t="str">
        <x:v>Build the accord from the dedicated recipe, evaluate it alone, then use it only as a disclosed functional reconstruction.</x:v>
      </x:c>
      <x:c r="H54" s="44" t="str">
        <x:v>Metallic Linen Accord v0.1 can be built from Habanolide, Galaxolide 50%, Hedione, Hydroxycitronellal, Helional 10%, Floralozone 10%, Adoxal 10% and C10–C12 MNA aldehydes.</x:v>
      </x:c>
      <x:c r="I54" s="44" t="str">
        <x:v>10% target-required accord</x:v>
      </x:c>
      <x:c r="J54" s="44" t="str">
        <x:v>This is an explicit fresh-linen/metallic accord, not a mystery base.</x:v>
      </x:c>
    </x:row>
    <x:row r="55" ht="55" customHeight="1">
      <x:c r="A55" s="44" t="str">
        <x:v>Orris Liquid 30%</x:v>
      </x:c>
      <x:c r="B55" s="44" t="str">
        <x:v>PRODUCT BASIS — VERIFY</x:v>
      </x:c>
      <x:c r="C55" s="44" t="n">
        <x:v>33</x:v>
      </x:c>
      <x:c r="D55" s="44" t="n">
        <x:v>33</x:v>
      </x:c>
      <x:c r="E55" s="44" t="str">
        <x:v>AM-E01, AM-E02, AM-E09, AM-E10, AM-L04, AM-L07, AM-L08, AM-L09, AM-N01, AM-N05, AM-N12, AM-N16, H01, H02, H04, H05, H06, H07, H08, H10, H12, O01, O02, O04, PR-E02, PR-E05, PR-L03, PR-L04, PR-N02, PR-N04, PR-N11, Y09, Y11</x:v>
      </x:c>
      <x:c r="F55" s="44" t="str">
        <x:v>COMPOSITION HOLD</x:v>
      </x:c>
      <x:c r="G55" s="44" t="str">
        <x:v>Use product-basis accounting; do not claim active-equivalent precision.</x:v>
      </x:c>
      <x:c r="H55" s="44" t="str">
        <x:v>Supplier-described as "EO of Orris Absolute"; exact composition/strength unknown</x:v>
      </x:c>
      <x:c r="I55" s="44" t="str">
        <x:v>30% product stock</x:v>
      </x:c>
      <x:c r="J55" s="44" t="str">
        <x:v>User says the product is described as EO of Orris Absolute.</x:v>
      </x:c>
    </x:row>
    <x:row r="56" ht="55" customHeight="1">
      <x:c r="A56" s="44" t="str">
        <x:v>Allyl Amyl Glycolate (AAG)</x:v>
      </x:c>
      <x:c r="B56" s="44" t="str">
        <x:v>HAVE — NEAT</x:v>
      </x:c>
      <x:c r="C56" s="44" t="n">
        <x:v>6</x:v>
      </x:c>
      <x:c r="D56" s="44" t="n">
        <x:v>6</x:v>
      </x:c>
      <x:c r="E56" s="44" t="str">
        <x:v>H05, H13, H15, Y02, Y10, Y13</x:v>
      </x:c>
      <x:c r="F56" s="44" t="str">
        <x:v>STOCK-STRENGTH RECALC</x:v>
      </x:c>
      <x:c r="G56" s="44" t="str">
        <x:v>Recalculate all old AAG 10% rows against neat AAG or prepare an explicit 10% DPG/TEC stock.</x:v>
      </x:c>
      <x:c r="H56" s="44" t="str">
        <x:v>Allyl Amyl Glycolate neat; CAS 67634-00-8</x:v>
      </x:c>
      <x:c r="I56" s="44" t="str">
        <x:v>10% prepared from neat AAG</x:v>
      </x:c>
      <x:c r="J56" s="44" t="str">
        <x:v>Canonical identity resolved.</x:v>
      </x:c>
    </x:row>
    <x:row r="57" ht="55" customHeight="1">
      <x:c r="A57" s="44" t="str">
        <x:v>Allyl Ionone 10%</x:v>
      </x:c>
      <x:c r="B57" s="44" t="str">
        <x:v>HAVE — NEAT ONLY</x:v>
      </x:c>
      <x:c r="C57" s="44" t="n">
        <x:v>1</x:v>
      </x:c>
      <x:c r="D57" s="44" t="n">
        <x:v>1</x:v>
      </x:c>
      <x:c r="E57" s="44" t="str">
        <x:v>PR-N11</x:v>
      </x:c>
      <x:c r="F57" s="44" t="str">
        <x:v>STOCK-STRENGTH RECALC</x:v>
      </x:c>
      <x:c r="G57" s="44" t="str">
        <x:v>Recalculate µL and active-equivalent doses for the actual stock.</x:v>
      </x:c>
      <x:c r="H57" s="44" t="str">
        <x:v>Allyl Ionone neat</x:v>
      </x:c>
      <x:c r="I57" s="44" t="str">
        <x:v>10% working dilution</x:v>
      </x:c>
      <x:c r="J57" s="44" t="str">
        <x:v>Listed 10% stock is not currently prepared.</x:v>
      </x:c>
    </x:row>
    <x:row r="58" ht="55" customHeight="1">
      <x:c r="A58" s="44" t="str">
        <x:v>Beta Ionone 1%</x:v>
      </x:c>
      <x:c r="B58" s="44" t="str">
        <x:v>HAVE — DIFFERENT STOCK</x:v>
      </x:c>
      <x:c r="C58" s="44" t="n">
        <x:v>2</x:v>
      </x:c>
      <x:c r="D58" s="44" t="n">
        <x:v>2</x:v>
      </x:c>
      <x:c r="E58" s="44" t="str">
        <x:v>PR-N11, Y01</x:v>
      </x:c>
      <x:c r="F58" s="44" t="str">
        <x:v>STOCK-STRENGTH RECALC</x:v>
      </x:c>
      <x:c r="G58" s="44" t="str">
        <x:v>Recalculate µL and active-equivalent doses for the actual stock.</x:v>
      </x:c>
      <x:c r="H58" s="44" t="str">
        <x:v>Beta Ionone 0.1% working dilution</x:v>
      </x:c>
      <x:c r="I58" s="44" t="str">
        <x:v>1% working stock</x:v>
      </x:c>
      <x:c r="J58" s="44" t="str">
        <x:v>User has 0.1%, not 1%.</x:v>
      </x:c>
    </x:row>
    <x:row r="59" ht="55" customHeight="1">
      <x:c r="A59" s="44" t="str">
        <x:v>Birch Tar 1%</x:v>
      </x:c>
      <x:c r="B59" s="44" t="str">
        <x:v>HAVE — MULTIPLE STOCKS</x:v>
      </x:c>
      <x:c r="C59" s="44" t="n">
        <x:v>33</x:v>
      </x:c>
      <x:c r="D59" s="44" t="n">
        <x:v>33</x:v>
      </x:c>
      <x:c r="E59" s="44" t="str">
        <x:v>AM-E01, AM-E02, AM-E03, AM-E04, AM-E07, AM-E08, AM-E11, AM-E13, AM-E14, AM-E15, AM-L03, AM-L04, AM-L05, AM-L06, AM-L07, AM-L08, AM-N01, AM-N03, AM-N05, AM-N07, AM-N08, AM-N09, AM-N13, C08, H01, H04, H08, PR-E02, PR-E04, PR-E07, PR-N05, PR-N06, PR-N07</x:v>
      </x:c>
      <x:c r="F59" s="44" t="str">
        <x:v>STOCK-STRENGTH RECALC</x:v>
      </x:c>
      <x:c r="G59" s="44" t="str">
        <x:v>Recalculate µL and active-equivalent doses for the actual stock.</x:v>
      </x:c>
      <x:c r="H59" s="44" t="str">
        <x:v>Birch Tar 1% and Birch Tar 10%</x:v>
      </x:c>
      <x:c r="I59" s="44" t="str">
        <x:v>1% working stock</x:v>
      </x:c>
      <x:c r="J59" s="44" t="str">
        <x:v>Both 1% and 10% stocks are available.</x:v>
      </x:c>
    </x:row>
    <x:row r="60" ht="55" customHeight="1">
      <x:c r="A60" s="44" t="str">
        <x:v>Carrot Seed EO 1%</x:v>
      </x:c>
      <x:c r="B60" s="44" t="str">
        <x:v>HAVE — NEAT ONLY</x:v>
      </x:c>
      <x:c r="C60" s="44" t="n">
        <x:v>10</x:v>
      </x:c>
      <x:c r="D60" s="44" t="n">
        <x:v>10</x:v>
      </x:c>
      <x:c r="E60" s="44" t="str">
        <x:v>AM-E01, AM-E09, AM-E10, AM-N01, AM-N12, AM-N16, PR-E02, PR-L03, PR-N02, PR-N11</x:v>
      </x:c>
      <x:c r="F60" s="44" t="str">
        <x:v>STOCK-STRENGTH RECALC</x:v>
      </x:c>
      <x:c r="G60" s="44" t="str">
        <x:v>Recalculate µL and active-equivalent doses for the actual stock.</x:v>
      </x:c>
      <x:c r="H60" s="44" t="str">
        <x:v>Carrot Seed EO neat</x:v>
      </x:c>
      <x:c r="I60" s="44" t="str">
        <x:v>1% working stock</x:v>
      </x:c>
      <x:c r="J60" s="44" t="str">
        <x:v>User only uses neat Carrot Seed EO.</x:v>
      </x:c>
    </x:row>
    <x:row r="61" ht="55" customHeight="1">
      <x:c r="A61" s="44" t="str">
        <x:v>Carrot Seed EO 10%</x:v>
      </x:c>
      <x:c r="B61" s="44" t="str">
        <x:v>HAVE — NEAT ONLY</x:v>
      </x:c>
      <x:c r="C61" s="44" t="n">
        <x:v>18</x:v>
      </x:c>
      <x:c r="D61" s="44" t="n">
        <x:v>18</x:v>
      </x:c>
      <x:c r="E61" s="44" t="str">
        <x:v>C01, H01, H02, H04, H05, H06, H07, H08, O01, O02, O04, Y06, Y07, Y09, Y10, Y11, Y12, Y13</x:v>
      </x:c>
      <x:c r="F61" s="44" t="str">
        <x:v>STOCK-STRENGTH RECALC</x:v>
      </x:c>
      <x:c r="G61" s="44" t="str">
        <x:v>Recalculate µL and active-equivalent doses for the actual stock.</x:v>
      </x:c>
      <x:c r="H61" s="44" t="str">
        <x:v>Carrot Seed EO neat</x:v>
      </x:c>
      <x:c r="I61" s="44" t="str">
        <x:v>10% working stock</x:v>
      </x:c>
      <x:c r="J61" s="44" t="str">
        <x:v>User only uses neat Carrot Seed EO.</x:v>
      </x:c>
    </x:row>
    <x:row r="62" ht="55" customHeight="1">
      <x:c r="A62" s="44" t="str">
        <x:v>Cashmeran 20%</x:v>
      </x:c>
      <x:c r="B62" s="44" t="str">
        <x:v>HAVE — MULTIPLE STOCKS</x:v>
      </x:c>
      <x:c r="C62" s="44" t="n">
        <x:v>28</x:v>
      </x:c>
      <x:c r="D62" s="44" t="n">
        <x:v>28</x:v>
      </x:c>
      <x:c r="E62" s="44" t="str">
        <x:v>C05, C07, C08, H14, H15, PR-E02, PR-E03, PR-E04, PR-E05, PR-E06, PR-E07, PR-E09, PR-L01, PR-L02, PR-L04, PR-L05, PR-N01, PR-N02, PR-N03, PR-N04, PR-N05, PR-N06, PR-N07, PR-N08, PR-N09, Y01, Y08, Y14</x:v>
      </x:c>
      <x:c r="F62" s="44" t="str">
        <x:v>STOCK-STRENGTH RECALC</x:v>
      </x:c>
      <x:c r="G62" s="44" t="str">
        <x:v>Recalculate µL and active-equivalent doses for the actual stock.</x:v>
      </x:c>
      <x:c r="H62" s="44" t="str">
        <x:v>Cashmeran neat and Cashmeran 20% in DPG</x:v>
      </x:c>
      <x:c r="I62" s="44" t="str">
        <x:v>20% in DPG</x:v>
      </x:c>
      <x:c r="J62" s="44" t="str">
        <x:v>Neat Cashmeran is also available.</x:v>
      </x:c>
    </x:row>
    <x:row r="63" ht="55" customHeight="1">
      <x:c r="A63" s="44" t="str">
        <x:v>Cedramber 10%</x:v>
      </x:c>
      <x:c r="B63" s="44" t="str">
        <x:v>HAVE — NEAT ONLY</x:v>
      </x:c>
      <x:c r="C63" s="44" t="n">
        <x:v>7</x:v>
      </x:c>
      <x:c r="D63" s="44" t="n">
        <x:v>7</x:v>
      </x:c>
      <x:c r="E63" s="44" t="str">
        <x:v>C07, C08, PR-E02, PR-E04, PR-E07, Y01, Y08</x:v>
      </x:c>
      <x:c r="F63" s="44" t="str">
        <x:v>STOCK-STRENGTH RECALC</x:v>
      </x:c>
      <x:c r="G63" s="44" t="str">
        <x:v>Recalculate µL and active-equivalent doses for the actual stock.</x:v>
      </x:c>
      <x:c r="H63" s="44" t="str">
        <x:v>Cedramber neat</x:v>
      </x:c>
      <x:c r="I63" s="44" t="str">
        <x:v>10% in DPG</x:v>
      </x:c>
      <x:c r="J63" s="44" t="str">
        <x:v>The listed 10% stock is not the owned form.</x:v>
      </x:c>
    </x:row>
    <x:row r="64" ht="55" customHeight="1">
      <x:c r="A64" s="44" t="str">
        <x:v>Cinnamon Bark EO 1%</x:v>
      </x:c>
      <x:c r="B64" s="44" t="str">
        <x:v>HAVE — DIFFERENT MATERIAL / PREPARE</x:v>
      </x:c>
      <x:c r="C64" s="44" t="n">
        <x:v>20</x:v>
      </x:c>
      <x:c r="D64" s="44" t="n">
        <x:v>20</x:v>
      </x:c>
      <x:c r="E64" s="44" t="str">
        <x:v>AM-E02, AM-E03, AM-E04, AM-E07, AM-E11, AM-E12, AM-E13, AM-L01, AM-L06, AM-L08, AM-N03, AM-N07, AM-N10, AM-N13, AM-N14, AM-N15, AM-N16, PR-N12, PR-N14, Y08</x:v>
      </x:c>
      <x:c r="F64" s="44" t="str">
        <x:v>STOCK-STRENGTH RECALC</x:v>
      </x:c>
      <x:c r="G64" s="44" t="str">
        <x:v>Recalculate µL and active-equivalent doses for the actual stock.</x:v>
      </x:c>
      <x:c r="H64" s="44" t="str">
        <x:v>Cinnamon Cassia Blume EO neat</x:v>
      </x:c>
      <x:c r="I64" s="44" t="str">
        <x:v>1% in DPG</x:v>
      </x:c>
      <x:c r="J64" s="44" t="str">
        <x:v>User has Cinnamon cassia Blume EO.</x:v>
      </x:c>
    </x:row>
    <x:row r="65" ht="55" customHeight="1">
      <x:c r="A65" s="44" t="str">
        <x:v>Citral Natural</x:v>
      </x:c>
      <x:c r="B65" s="44" t="str">
        <x:v>HAVE — NEAT ONLY</x:v>
      </x:c>
      <x:c r="C65" s="44" t="n">
        <x:v>13</x:v>
      </x:c>
      <x:c r="D65" s="44" t="n">
        <x:v>13</x:v>
      </x:c>
      <x:c r="E65" s="44" t="str">
        <x:v>AM-E04, AM-E12, AM-E16, AM-L02, AM-N04, AM-N14, AM-N15, PR-E05, PR-N03, PR-N10, PR-N11, PR-N12, PR-N13</x:v>
      </x:c>
      <x:c r="F65" s="44" t="str">
        <x:v>STOCK-STRENGTH RECALC</x:v>
      </x:c>
      <x:c r="G65" s="44" t="str">
        <x:v>Recalculate µL and active-equivalent doses for the actual stock.</x:v>
      </x:c>
      <x:c r="H65" s="44" t="str">
        <x:v>Citral Natural neat</x:v>
      </x:c>
      <x:c r="I65" s="44" t="str">
        <x:v>10% working dilution</x:v>
      </x:c>
      <x:c r="J65" s="44" t="str">
        <x:v>User has neat Citral Natural.</x:v>
      </x:c>
    </x:row>
    <x:row r="66" ht="55" customHeight="1">
      <x:c r="A66" s="44" t="str">
        <x:v>Citronellol 10%</x:v>
      </x:c>
      <x:c r="B66" s="44" t="str">
        <x:v>HAVE — NEAT ONLY</x:v>
      </x:c>
      <x:c r="C66" s="44" t="n">
        <x:v>31</x:v>
      </x:c>
      <x:c r="D66" s="44" t="n">
        <x:v>31</x:v>
      </x:c>
      <x:c r="E66" s="44" t="str">
        <x:v>AM-E01, AM-E02, AM-E04, AM-E05, AM-E07, AM-E09, AM-E11, AM-E14, AM-E15, AM-L01, AM-L04, AM-L08, AM-N04, AM-N05, AM-N06, AM-N15, C01, H06, H13, H14, H15, PR-E01, PR-E03, PR-E09, PR-L04, PR-N06, S01, S02, S03, Y06, Y14</x:v>
      </x:c>
      <x:c r="F66" s="44" t="str">
        <x:v>STOCK-STRENGTH RECALC</x:v>
      </x:c>
      <x:c r="G66" s="44" t="str">
        <x:v>Recalculate µL and active-equivalent doses for the actual stock.</x:v>
      </x:c>
      <x:c r="H66" s="44" t="str">
        <x:v>Citronellol neat</x:v>
      </x:c>
      <x:c r="I66" s="44" t="str">
        <x:v>10% working stock</x:v>
      </x:c>
      <x:c r="J66" s="44" t="str">
        <x:v>User has neat Citronellol.</x:v>
      </x:c>
    </x:row>
    <x:row r="67" ht="55" customHeight="1">
      <x:c r="A67" s="44" t="str">
        <x:v>Dihydro Beta Ionone 10%</x:v>
      </x:c>
      <x:c r="B67" s="44" t="str">
        <x:v>HAVE — NEAT ONLY</x:v>
      </x:c>
      <x:c r="C67" s="44" t="n">
        <x:v>15</x:v>
      </x:c>
      <x:c r="D67" s="44" t="n">
        <x:v>15</x:v>
      </x:c>
      <x:c r="E67" s="44" t="str">
        <x:v>AM-E01, AM-E09, AM-E10, AM-L07, AM-N01, AM-N12, AM-N16, PR-L03, PR-L04, PR-L05, PR-N02, PR-N03, PR-N04, PR-N11, Y01</x:v>
      </x:c>
      <x:c r="F67" s="44" t="str">
        <x:v>STOCK-STRENGTH RECALC</x:v>
      </x:c>
      <x:c r="G67" s="44" t="str">
        <x:v>Recalculate µL and active-equivalent doses for the actual stock.</x:v>
      </x:c>
      <x:c r="H67" s="44" t="str">
        <x:v>Dihydro Beta Ionone neat</x:v>
      </x:c>
      <x:c r="I67" s="44" t="str">
        <x:v>10% working stock</x:v>
      </x:c>
      <x:c r="J67" s="44" t="str">
        <x:v>Only neat stock is available.</x:v>
      </x:c>
    </x:row>
    <x:row r="68" ht="55" customHeight="1">
      <x:c r="A68" s="44" t="str">
        <x:v>Heliotropal 10%</x:v>
      </x:c>
      <x:c r="B68" s="44" t="str">
        <x:v>HAVE — NEAT ONLY</x:v>
      </x:c>
      <x:c r="C68" s="44" t="n">
        <x:v>15</x:v>
      </x:c>
      <x:c r="D68" s="44" t="n">
        <x:v>15</x:v>
      </x:c>
      <x:c r="E68" s="44" t="str">
        <x:v>H01, H02, H04, H05, H06, H07, H08, O01, O02, O04, PR-L04, PR-N02, Y01, Y09, Y11</x:v>
      </x:c>
      <x:c r="F68" s="44" t="str">
        <x:v>STOCK-STRENGTH RECALC</x:v>
      </x:c>
      <x:c r="G68" s="44" t="str">
        <x:v>Recalculate µL and active-equivalent doses for the actual stock.</x:v>
      </x:c>
      <x:c r="H68" s="44" t="str">
        <x:v>Heliotropal neat</x:v>
      </x:c>
      <x:c r="I68" s="44" t="str">
        <x:v>10% in DPG</x:v>
      </x:c>
      <x:c r="J68" s="44" t="str">
        <x:v>Only neat stock is available.</x:v>
      </x:c>
    </x:row>
    <x:row r="69" ht="55" customHeight="1">
      <x:c r="A69" s="44" t="str">
        <x:v>Neroli EO 10% in DPG</x:v>
      </x:c>
      <x:c r="B69" s="44" t="str">
        <x:v>HAVE — 10% ONLY</x:v>
      </x:c>
      <x:c r="C69" s="44" t="n">
        <x:v>14</x:v>
      </x:c>
      <x:c r="D69" s="44" t="n">
        <x:v>14</x:v>
      </x:c>
      <x:c r="E69" s="44" t="str">
        <x:v>H08, H09, H10, O02, PR-E08, PR-L03, PR-L04, PR-L05, PR-N04, PR-N05, PR-N11, PR-N13, Y03, Y04</x:v>
      </x:c>
      <x:c r="F69" s="44" t="str">
        <x:v>STOCK-STRENGTH RECALC</x:v>
      </x:c>
      <x:c r="G69" s="44" t="str">
        <x:v>Recalculate µL and active-equivalent doses for the actual stock.</x:v>
      </x:c>
      <x:c r="H69" s="44" t="str">
        <x:v>Neroli EO 10% in DPG</x:v>
      </x:c>
      <x:c r="I69" s="44" t="str">
        <x:v>10% working stock</x:v>
      </x:c>
      <x:c r="J69" s="44" t="str">
        <x:v>Canonical Neroli stock.</x:v>
      </x:c>
    </x:row>
    <x:row r="70" ht="55" customHeight="1">
      <x:c r="A70" s="44" t="str">
        <x:v>Peru Balsam 10%</x:v>
      </x:c>
      <x:c r="B70" s="44" t="str">
        <x:v>HAVE — 50% ONLY</x:v>
      </x:c>
      <x:c r="C70" s="44" t="n">
        <x:v>43</x:v>
      </x:c>
      <x:c r="D70" s="44" t="n">
        <x:v>43</x:v>
      </x:c>
      <x:c r="E70" s="44" t="str">
        <x:v>AM-E02, AM-E03, AM-E04, AM-E05, AM-E06, AM-E07, AM-E08, AM-E10, AM-E11, AM-E12, AM-E13, AM-E14, AM-E15, AM-E16, AM-L02, AM-L03, AM-L04, AM-L05, AM-L06, AM-L08, AM-L09, AM-N01, AM-N02, AM-N04, AM-N05, AM-N06, AM-N08, AM-N09, AM-N10, AM-N11, AM-N12, AM-N14, AM-N15, AM-N16, C08, PR-E05, PR-E08, PR-E09, PR-N05, PR-N06, PR-N07, PR-N09, PR-N13</x:v>
      </x:c>
      <x:c r="F70" s="44" t="str">
        <x:v>STOCK-STRENGTH RECALC</x:v>
      </x:c>
      <x:c r="G70" s="44" t="str">
        <x:v>Recalculate µL and active-equivalent doses for the actual stock.</x:v>
      </x:c>
      <x:c r="H70" s="44" t="str">
        <x:v>Peru Balsam Resinoid 50%</x:v>
      </x:c>
      <x:c r="I70" s="44" t="str">
        <x:v>10% in DPG</x:v>
      </x:c>
      <x:c r="J70" s="44" t="str">
        <x:v>User has 50% resinoid, not 10%.</x:v>
      </x:c>
    </x:row>
    <x:row r="71" ht="55" customHeight="1">
      <x:c r="A71" s="44" t="str">
        <x:v>Sandalwood EO</x:v>
      </x:c>
      <x:c r="B71" s="44" t="str">
        <x:v>HAVE — 10% ONLY</x:v>
      </x:c>
      <x:c r="C71" s="44" t="n">
        <x:v>5</x:v>
      </x:c>
      <x:c r="D71" s="44" t="n">
        <x:v>5</x:v>
      </x:c>
      <x:c r="E71" s="44" t="str">
        <x:v>C01, C07, C08, PR-L05, PR-N04</x:v>
      </x:c>
      <x:c r="F71" s="44" t="str">
        <x:v>STOCK-STRENGTH RECALC</x:v>
      </x:c>
      <x:c r="G71" s="44" t="str">
        <x:v>Recalculate µL and active-equivalent doses for the actual stock.</x:v>
      </x:c>
      <x:c r="H71" s="44" t="str">
        <x:v>Sandalwood EO 10% in DPG</x:v>
      </x:c>
      <x:c r="I71" s="44" t="str">
        <x:v>neat / as supplied; verify stock</x:v>
      </x:c>
      <x:c r="J71" s="44" t="str">
        <x:v>Only 10% DPG stock is available.</x:v>
      </x:c>
    </x:row>
    <x:row r="72" ht="55" customHeight="1">
      <x:c r="A72" s="44" t="str">
        <x:v>Basil EO ct. Methyl Chavicol 10%</x:v>
      </x:c>
      <x:c r="B72" s="44" t="str">
        <x:v>VERIFY</x:v>
      </x:c>
      <x:c r="C72" s="44" t="n">
        <x:v>2</x:v>
      </x:c>
      <x:c r="D72" s="44" t="n">
        <x:v>2</x:v>
      </x:c>
      <x:c r="E72" s="44" t="str">
        <x:v>Y01, Y07</x:v>
      </x:c>
      <x:c r="F72" s="44" t="str">
        <x:v>VERIFY BEFORE BATCH</x:v>
      </x:c>
      <x:c r="G72" s="44" t="str">
        <x:v>Confirm label, identity and solvent before formula execution.</x:v>
      </x:c>
      <x:c r="H72" s="44" t="str">
        <x:v>10% in DPG; verify stock</x:v>
      </x:c>
      <x:c r="I72" s="44" t="str">
        <x:v>10% in DPG; verify stock</x:v>
      </x:c>
      <x:c r="J72" s="44" t="str">
        <x:v>Unchanged from prior register.</x:v>
      </x:c>
    </x:row>
    <x:row r="73" ht="55" customHeight="1">
      <x:c r="A73" s="44" t="str">
        <x:v>Evernyl 20%</x:v>
      </x:c>
      <x:c r="B73" s="44" t="str">
        <x:v>HAVE — SUSPENSION / MIXTURE</x:v>
      </x:c>
      <x:c r="C73" s="44" t="n">
        <x:v>45</x:v>
      </x:c>
      <x:c r="D73" s="44" t="n">
        <x:v>45</x:v>
      </x:c>
      <x:c r="E73" s="44" t="str">
        <x:v>AM-E01, AM-E02, AM-E03, AM-E04, AM-E05, AM-E06, AM-E07, AM-E08, AM-E09, AM-E10, AM-E11, AM-E12, AM-E13, AM-E14, AM-E15, AM-E16, AM-L01, AM-L02, AM-L03, AM-L04, AM-L05, AM-L06, AM-L07, AM-L08, AM-L09, AM-N01, AM-N02, AM-N03, AM-N04, AM-N05, AM-N06, AM-N07, AM-N08, AM-N09, AM-N10, AM-N11, AM-N12, AM-N13, AM-N14, AM-N15, AM-N16, C07, C08, PR-E07, Y08</x:v>
      </x:c>
      <x:c r="F73" s="44" t="str">
        <x:v>VERIFY BEFORE BATCH</x:v>
      </x:c>
      <x:c r="G73" s="44" t="str">
        <x:v>Confirm label, identity and solvent before formula execution.</x:v>
      </x:c>
      <x:c r="H73" s="44" t="str">
        <x:v>Evernyl nominal 20% in DPG; not a true solution</x:v>
      </x:c>
      <x:c r="I73" s="44" t="str">
        <x:v>20% in DPG; verify clarity</x:v>
      </x:c>
      <x:c r="J73" s="44" t="str">
        <x:v>User says it must be shaken before each use.</x:v>
      </x:c>
    </x:row>
    <x:row r="74" ht="55" customHeight="1">
      <x:c r="A74" s="44" t="str">
        <x:v>Habanolide</x:v>
      </x:c>
      <x:c r="B74" s="44" t="str">
        <x:v>HAVE — NEAT</x:v>
      </x:c>
      <x:c r="C74" s="44" t="n">
        <x:v>119</x:v>
      </x:c>
      <x:c r="D74" s="44" t="n">
        <x:v>119</x:v>
      </x:c>
      <x:c r="E74"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PR-E03, PR-E04, PR-E05, PR-E06, PR-E07, PR-E08, PR-E09, PR-L01, PR-L02, PR-L03, PR-L04, PR-L05, PR-N01, PR-N02, PR-N03, PR-N04, PR-N06, PR-N07, PR-N08, PR-N09, PR-N10, PR-N11, PR-N12, PR-N13, PR-N14, S01, S02, S03, S04, S05, S06, S07, S08, Y01, Y02, Y03, Y04, Y05, Y06, Y07, Y08, Y09, Y10, Y11, Y12, Y13, Y14</x:v>
      </x:c>
      <x:c r="F74" s="44" t="str">
        <x:v>RESOLVED • NO LABEL HOLD</x:v>
      </x:c>
      <x:c r="G74" s="44" t="str">
        <x:v>Use exact neat Habanolide stock; preserve formula calculations written for neat material.</x:v>
      </x:c>
      <x:c r="H74" s="44" t="str">
        <x:v>Habanolide neat/as supplied; CAS 111879-80-2</x:v>
      </x:c>
      <x:c r="I74" s="44" t="str">
        <x:v>neat / verify label</x:v>
      </x:c>
      <x:c r="J74" s="44" t="str">
        <x:v>PerfumersWorld identity resolved.</x:v>
      </x:c>
    </x:row>
    <x:row r="75" ht="55" customHeight="1">
      <x:c r="A75" s="44" t="str">
        <x:v>Leafovert</x:v>
      </x:c>
      <x:c r="B75" s="44" t="str">
        <x:v>HAVE — NEAT / RESOLVED</x:v>
      </x:c>
      <x:c r="C75" s="44" t="n">
        <x:v>47</x:v>
      </x:c>
      <x:c r="D75" s="44" t="n">
        <x:v>47</x:v>
      </x:c>
      <x:c r="E75" s="44" t="str">
        <x:v>AM-E01, AM-E02, AM-E03, AM-E04, AM-E05, AM-E06, AM-E07, AM-E08, AM-E09, AM-E10, AM-E11, AM-E12, AM-E13, AM-E14, AM-E15, AM-E16, AM-L01, AM-L02, AM-L03, AM-L04, AM-L05, AM-L06, AM-L07, AM-L08, AM-L09, AM-N01, AM-N02, AM-N03, AM-N04, AM-N05, AM-N06, AM-N07, AM-N08, AM-N09, AM-N10, AM-N11, AM-N12, AM-N13, AM-N14, AM-N15, AM-N16, H12, O06, PR-E01, PR-L05, PR-N04, Y01</x:v>
      </x:c>
      <x:c r="F75" s="44" t="str">
        <x:v>RESOLVED • RECALCULATE STOCK</x:v>
      </x:c>
      <x:c r="G75" s="44" t="str">
        <x:v>Use neat Leafovert and recalculate any row previously written for an unresolved or diluted stock.</x:v>
      </x:c>
      <x:c r="H75" s="44" t="str">
        <x:v>Leafovert neat/as supplied</x:v>
      </x:c>
      <x:c r="I75" s="44" t="str">
        <x:v>as supplied; verify label</x:v>
      </x:c>
      <x:c r="J75" s="44" t="str">
        <x:v>User confirmed neat stock on 2026-08-07; prior VERIFY lock is superseded.</x:v>
      </x:c>
    </x:row>
    <x:row r="76" ht="55" customHeight="1">
      <x:c r="A76" s="44" t="str">
        <x:v>Romandolide</x:v>
      </x:c>
      <x:c r="B76" s="44" t="str">
        <x:v>HAVE — NEAT</x:v>
      </x:c>
      <x:c r="C76" s="44" t="n">
        <x:v>116</x:v>
      </x:c>
      <x:c r="D76" s="44" t="n">
        <x:v>116</x:v>
      </x:c>
      <x:c r="E76" s="44"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PR-E04, PR-E05, PR-E06, PR-E07, PR-E08, PR-E09, PR-L01, PR-L03, PR-L04, PR-N01, PR-N02, PR-N04, PR-N05, PR-N06, PR-N07, PR-N08, PR-N09, PR-N10, PR-N11, PR-N12, PR-N13, PR-N14, S01, S02, S03, S04, S05, S06, S07, S08, Y01, Y02, Y03, Y04, Y05, Y06, Y07, Y08, Y09, Y10, Y11, Y12, Y13, Y14</x:v>
      </x:c>
      <x:c r="F76" s="44" t="str">
        <x:v>RESOLVED • NO LABEL HOLD</x:v>
      </x:c>
      <x:c r="G76" s="44" t="str">
        <x:v>Use exact neat Romandolide stock; preserve formula calculations written for neat material.</x:v>
      </x:c>
      <x:c r="H76" s="44" t="str">
        <x:v>Romandolide neat/as supplied</x:v>
      </x:c>
      <x:c r="I76" s="44" t="str">
        <x:v>neat / verify label</x:v>
      </x:c>
      <x:c r="J76" s="44" t="str">
        <x:v>PerfumersWorld identity resolved.</x:v>
      </x:c>
    </x:row>
    <x:row r="77" ht="55" customHeight="1">
      <x:c r="A77" s="44" t="str">
        <x:v>Rose EO</x:v>
      </x:c>
      <x:c r="B77" s="44" t="str">
        <x:v>DO NOT USE — UNCONFIRMED</x:v>
      </x:c>
      <x:c r="C77" s="44" t="n">
        <x:v>18</x:v>
      </x:c>
      <x:c r="D77" s="44" t="n">
        <x:v>18</x:v>
      </x:c>
      <x:c r="E77" s="44" t="str">
        <x:v>H01, H02, H03, H04, H06, H07, H10, H11, H12, H13, H14, O06, S01, S02, S03, S07, Y06, Y08</x:v>
      </x:c>
      <x:c r="F77" s="44" t="str">
        <x:v>HOLD / TARGET GAP</x:v>
      </x:c>
      <x:c r="G77" s="44" t="str">
        <x:v>Hold formulas requiring generic Rose EO. Rose de Mai 10% is a separate material.</x:v>
      </x:c>
      <x:c r="H77" s="44" t="str">
        <x:v>Rose de Mai 10% is available separately</x:v>
      </x:c>
      <x:c r="I77" s="44" t="str">
        <x:v>neat; verify current stock</x:v>
      </x:c>
      <x:c r="J77" s="44" t="str">
        <x:v>Conservative no-use policy applied.</x:v>
      </x:c>
    </x:row>
    <x:row r="78">
      <x:c r="A78" s="92" t="str">
        <x:v>Ambrettolide 10%</x:v>
      </x:c>
      <x:c r="B78" s="92" t="str">
        <x:v>PLANNED ACQUISITION • DESIGN-AVAILABLE</x:v>
      </x:c>
      <x:c r="C78" s="92" t="n">
        <x:v>119</x:v>
      </x:c>
      <x:c r="D78" s="92" t="n">
        <x:v>119</x:v>
      </x:c>
      <x:c r="E78" s="92" t="str">
        <x:v>AM-E01, AM-E02, AM-E03, AM-E04, AM-E05, AM-E06, AM-E07, AM-E08, AM-E09, AM-E10, AM-E11, AM-E12, AM-E13, AM-E14, AM-E15, AM-E16, AM-L01, AM-L02, AM-L03, AM-L04, AM-L05, AM-L06, AM-L07, AM-L08, AM-L09, AM-N01, AM-N02, AM-N03, AM-N04, AM-N05, AM-N06, AM-N07, AM-N08, AM-N09, AM-N10, AM-N11, AM-N12, AM-N13, AM-N14, AM-N15, AM-N16, C01, C02, C03, C04, C05, C06, C07, C08, H01, H02, H03, H04, H05, H06, H07, H08, H09, H10, H11, H12, H13, H14, H15, O01, O02, O03, O04, O05, O06, PR-E01, PR-E02, PR-E03, PR-E04, PR-E05, PR-E06, PR-E07, PR-E08, PR-E09, PR-L02, PR-L03, PR-L04, PR-L05, PR-N01, PR-N02, PR-N03, PR-N04, PR-N05, PR-N06, PR-N07, PR-N08, PR-N09, PR-N10, PR-N11, PR-N12, PR-N13, PR-N14, S01, S02, S03, S04, S05, S06, S07, S08, Y01, Y02, Y03, Y04, Y05, Y06, Y07, Y08, Y09, Y10, Y11, Y12, Y13, Y14</x:v>
      </x:c>
      <x:c r="F78" s="92" t="str">
        <x:v>DESIGN UNBLOCKED • PHYSICAL PROCUREMENT PENDING</x:v>
      </x:c>
      <x:c r="G78" s="92" t="str">
        <x:v>Permit exact Ambrettolide 10% in DPG in computational candidates and screen plans. Do not mark any physical batch compounded until receipt and ExactStockRef exist.</x:v>
      </x:c>
      <x:c r="H78" s="92" t="str">
        <x:v>Planned Ambrettolide 10% in DPG</x:v>
      </x:c>
      <x:c r="I78" s="92" t="str">
        <x:v>10% in DPG</x:v>
      </x:c>
      <x:c r="J78" s="92" t="str">
        <x:v>User explicitly requested planned-availability treatment on 2026-08-07.</x:v>
      </x:c>
    </x:row>
  </x:sheetData>
  <x:mergeCells>
    <x:mergeCell ref="A1:J1"/>
    <x:mergeCell ref="A2:J3"/>
  </x:mergeCells>
  <x:conditionalFormatting sqref="F6:F77">
    <x:cfRule type="expression" dxfId="17" priority="1">
      <x:formula>F6="BLOCKER"</x:formula>
    </x:cfRule>
    <x:cfRule type="expression" dxfId="18" priority="2">
      <x:formula>ISNUMBER(SEARCH("HOLD",F6))</x:formula>
    </x:cfRule>
    <x:cfRule type="expression" dxfId="19" priority="3">
      <x:formula>ISNUMBER(SEARCH("RECALC",F6))</x:formula>
    </x:cfRule>
    <x:cfRule type="expression" dxfId="20" priority="4">
      <x:formula>ISNUMBER(SEARCH("VERIFY",F6))</x:formula>
    </x:cfRule>
    <x:cfRule type="expression" dxfId="32" priority="5">
      <x:formula>ISNUMBER(SEARCH("CONSTRUCTIBLE",F6))</x:formula>
    </x:cfRule>
    <x:cfRule type="expression" dxfId="33" priority="6">
      <x:formula>ISNUMBER(SEARCH("RESOLVED",F6))</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29" hidden="0" customWidth="1"/>
    <x:col min="2" max="2" width="48" hidden="0" customWidth="1"/>
    <x:col min="3" max="3" width="28" hidden="0" customWidth="1"/>
    <x:col min="4" max="4" width="62" hidden="0" customWidth="1"/>
    <x:col min="5" max="5" width="30" hidden="0" customWidth="1"/>
    <x:col min="6" max="6" width="55" hidden="0" customWidth="1"/>
    <x:col min="7" max="7" width="38" hidden="0" customWidth="1"/>
    <x:col min="8" max="8" width="25" hidden="0" customWidth="1"/>
  </x:cols>
  <x:sheetData>
    <x:row r="1">
      <x:c r="A1" s="95" t="str">
        <x:v>PERFUMERSWORLD IDENTITY RESOLUTIONS • NO FURTHER USER QUESTIONS REQUIRED</x:v>
      </x:c>
      <x:c r="B1" s="95"/>
      <x:c r="C1" s="95"/>
      <x:c r="D1" s="95"/>
      <x:c r="E1" s="95"/>
      <x:c r="F1" s="95"/>
      <x:c r="G1" s="95"/>
      <x:c r="H1" s="95"/>
    </x:row>
    <x:row r="2">
      <x:c r="A2" s="99" t="str">
        <x:v>AAG, ACA and 2-Acetyl Pyrazine were resolved from the user's confirmation and PerfumersWorld records. Remaining specialty bases are handled as named product-basis materials rather than guessed mixtures. Inventory policy is now closed unless a future bottle label contradicts the supplier record.</x:v>
      </x:c>
      <x:c r="B2" s="99"/>
      <x:c r="C2" s="99"/>
      <x:c r="D2" s="99"/>
      <x:c r="E2" s="99"/>
      <x:c r="F2" s="99"/>
      <x:c r="G2" s="99"/>
      <x:c r="H2" s="99"/>
    </x:row>
    <x:row r="3">
      <x:c r="A3" s="99"/>
      <x:c r="B3" s="99"/>
      <x:c r="C3" s="99"/>
      <x:c r="D3" s="99"/>
      <x:c r="E3" s="99"/>
      <x:c r="F3" s="99"/>
      <x:c r="G3" s="99"/>
      <x:c r="H3" s="99"/>
    </x:row>
    <x:row r="5">
      <x:c r="A5" s="103" t="str">
        <x:v>Material</x:v>
      </x:c>
      <x:c r="B5" s="103" t="str">
        <x:v>Resolved identity / stock</x:v>
      </x:c>
      <x:c r="C5" s="103" t="str">
        <x:v>CAS / SKU</x:v>
      </x:c>
      <x:c r="D5" s="103" t="str">
        <x:v>PerfumersWorld evidence</x:v>
      </x:c>
      <x:c r="E5" s="103" t="str">
        <x:v>Inventory state</x:v>
      </x:c>
      <x:c r="F5" s="103" t="str">
        <x:v>Formula rule</x:v>
      </x:c>
      <x:c r="G5" s="103" t="str">
        <x:v>Composition state</x:v>
      </x:c>
      <x:c r="H5" s="103" t="str">
        <x:v>Resolution</x:v>
      </x:c>
    </x:row>
    <x:row r="6" ht="57" customHeight="1">
      <x:c r="A6" s="106" t="str">
        <x:v>AAG</x:v>
      </x:c>
      <x:c r="B6" s="106" t="str">
        <x:v>Allyl Amyl Glycolate, neat/as supplied</x:v>
      </x:c>
      <x:c r="C6" s="106" t="str">
        <x:v>CAS 67634-00-8 / SKU 4FG00029</x:v>
      </x:c>
      <x:c r="D6" s="106" t="str">
        <x:v>https://www.perfumersworld.com/ifra/view-page.php?pro_id=4FG00029</x:v>
      </x:c>
      <x:c r="E6" s="106" t="str">
        <x:v>HAVE — NEAT</x:v>
      </x:c>
      <x:c r="F6" s="106" t="str">
        <x:v>Prepare 10% only when required; recalc old AAG-10% rows.</x:v>
      </x:c>
      <x:c r="G6" s="106" t="str">
        <x:v>Defined single material</x:v>
      </x:c>
      <x:c r="H6" s="106" t="str">
        <x:v>CLOSED</x:v>
      </x:c>
    </x:row>
    <x:row r="7" ht="57" customHeight="1">
      <x:c r="A7" s="106" t="str">
        <x:v>ACA</x:v>
      </x:c>
      <x:c r="B7" s="106" t="str">
        <x:v>Amyl Cinnamic Aldehyde, neat/as supplied</x:v>
      </x:c>
      <x:c r="C7" s="106" t="str">
        <x:v>CAS 122-40-7 / SKU 3JJ00005</x:v>
      </x:c>
      <x:c r="D7" s="106" t="str">
        <x:v>https://www.perfumersworld.com/ifra/view-page.php?ifra=defaultOpen&amp;pro_id=3JJ00005</x:v>
      </x:c>
      <x:c r="E7" s="106" t="str">
        <x:v>HAVE — NEAT</x:v>
      </x:c>
      <x:c r="F7" s="106" t="str">
        <x:v>Use as ACA; do not confuse with HCA or cinnamaldehyde.</x:v>
      </x:c>
      <x:c r="G7" s="106" t="str">
        <x:v>Defined single material</x:v>
      </x:c>
      <x:c r="H7" s="106" t="str">
        <x:v>CLOSED</x:v>
      </x:c>
    </x:row>
    <x:row r="8" ht="57" customHeight="1">
      <x:c r="A8" s="106" t="str">
        <x:v>2-AP</x:v>
      </x:c>
      <x:c r="B8" s="106" t="str">
        <x:v>2-Acetyl Pyrazine, neat/as supplied</x:v>
      </x:c>
      <x:c r="C8" s="106" t="str">
        <x:v>SKU 1EN13109</x:v>
      </x:c>
      <x:c r="D8" s="106" t="str">
        <x:v>https://www.perfumersworld.com/ifra/view-page.php?pro_id=1EN13109</x:v>
      </x:c>
      <x:c r="E8" s="106" t="str">
        <x:v>HAVE — NEAT</x:v>
      </x:c>
      <x:c r="F8" s="106" t="str">
        <x:v>Prepare 1% in DPG for routine dosing; not a hazelnut accord.</x:v>
      </x:c>
      <x:c r="G8" s="106" t="str">
        <x:v>Defined single material</x:v>
      </x:c>
      <x:c r="H8" s="106" t="str">
        <x:v>CLOSED</x:v>
      </x:c>
    </x:row>
    <x:row r="9" ht="57" customHeight="1">
      <x:c r="A9" s="106" t="str">
        <x:v>Habanolide</x:v>
      </x:c>
      <x:c r="B9" s="106" t="str">
        <x:v>Habanolide neat/as supplied</x:v>
      </x:c>
      <x:c r="C9" s="106" t="str">
        <x:v>CAS 111879-80-2 / SKU 3XA09821</x:v>
      </x:c>
      <x:c r="D9" s="106" t="str">
        <x:v>https://www.perfumersworld.com/ifra/view-page.php?ifra=defaultOpen&amp;pro_id=3XA09821</x:v>
      </x:c>
      <x:c r="E9" s="106" t="str">
        <x:v>HAVE — NEAT</x:v>
      </x:c>
      <x:c r="F9" s="106" t="str">
        <x:v>Use neat stock.</x:v>
      </x:c>
      <x:c r="G9" s="106" t="str">
        <x:v>Defined single material</x:v>
      </x:c>
      <x:c r="H9" s="106" t="str">
        <x:v>CLOSED</x:v>
      </x:c>
    </x:row>
    <x:row r="10" ht="57" customHeight="1">
      <x:c r="A10" s="106" t="str">
        <x:v>Romandolide</x:v>
      </x:c>
      <x:c r="B10" s="106" t="str">
        <x:v>Romandolide neat/as supplied</x:v>
      </x:c>
      <x:c r="C10" s="106" t="str">
        <x:v>SKU 3XU22379</x:v>
      </x:c>
      <x:c r="D10" s="106" t="str">
        <x:v>https://www.perfumersworld.com/ifra/view-page.php?ifra=defaultOpen&amp;pro_id=3XU22379</x:v>
      </x:c>
      <x:c r="E10" s="106" t="str">
        <x:v>HAVE — NEAT</x:v>
      </x:c>
      <x:c r="F10" s="106" t="str">
        <x:v>Use neat stock.</x:v>
      </x:c>
      <x:c r="G10" s="106" t="str">
        <x:v>Defined single material</x:v>
      </x:c>
      <x:c r="H10" s="106" t="str">
        <x:v>CLOSED</x:v>
      </x:c>
    </x:row>
    <x:row r="11" ht="57" customHeight="1">
      <x:c r="A11" s="106" t="str">
        <x:v>Oranger Crystals 10%</x:v>
      </x:c>
      <x:c r="B11" s="106" t="str">
        <x:v>Oranger Crystals 10% in DPG</x:v>
      </x:c>
      <x:c r="C11" s="106" t="str">
        <x:v>CAS 93-08-3 / SKU 5NC07839</x:v>
      </x:c>
      <x:c r="D11" s="106" t="str">
        <x:v>https://perfumersworld.com/ifra/view-page.php?ifra=defaultOpen&amp;pro_id=5NC07839</x:v>
      </x:c>
      <x:c r="E11" s="106" t="str">
        <x:v>HAVE — 10% DPG</x:v>
      </x:c>
      <x:c r="F11" s="106" t="str">
        <x:v>Use exact 10% DPG stock.</x:v>
      </x:c>
      <x:c r="G11" s="106" t="str">
        <x:v>Defined dilution</x:v>
      </x:c>
      <x:c r="H11" s="106" t="str">
        <x:v>CLOSED</x:v>
      </x:c>
    </x:row>
    <x:row r="12" ht="57" customHeight="1">
      <x:c r="A12" s="106" t="str">
        <x:v>Orris Liquid</x:v>
      </x:c>
      <x:c r="B12" s="106" t="str">
        <x:v>PerfumersWorld Orris Liquid as supplied</x:v>
      </x:c>
      <x:c r="C12" s="106" t="str">
        <x:v>SKU 8IQ24653</x:v>
      </x:c>
      <x:c r="D12" s="106" t="str">
        <x:v>https://www.perfumersworld.com/whats-new.php</x:v>
      </x:c>
      <x:c r="E12" s="106" t="str">
        <x:v>HAVE — PRODUCT BASIS</x:v>
      </x:c>
      <x:c r="F12" s="106" t="str">
        <x:v>Use named product only; no guessed 30% activity.</x:v>
      </x:c>
      <x:c r="G12" s="106" t="str">
        <x:v>Proprietary/product basis</x:v>
      </x:c>
      <x:c r="H12" s="106" t="str">
        <x:v>CLOSED BY POLICY</x:v>
      </x:c>
    </x:row>
    <x:row r="13" ht="57" customHeight="1">
      <x:c r="A13" s="106" t="str">
        <x:v>Sandalwood Base X3</x:v>
      </x:c>
      <x:c r="B13" s="106" t="str">
        <x:v>PerfumersWorld specialty sandalwood base</x:v>
      </x:c>
      <x:c r="C13" s="106" t="str">
        <x:v>SKU 6WX24054</x:v>
      </x:c>
      <x:c r="D13" s="106" t="str">
        <x:v>https://www.perfumersworld.com/view.php?pro_id=6WX24054</x:v>
      </x:c>
      <x:c r="E13" s="106" t="str">
        <x:v>HAVE — PRODUCT BASIS</x:v>
      </x:c>
      <x:c r="F13" s="106" t="str">
        <x:v>Do not call natural sandalwood; no single active fraction.</x:v>
      </x:c>
      <x:c r="G13" s="106" t="str">
        <x:v>Mixture; &gt;10% natural EOs per supplier</x:v>
      </x:c>
      <x:c r="H13" s="106" t="str">
        <x:v>CLOSED BY POLICY</x:v>
      </x:c>
    </x:row>
    <x:row r="14" ht="57" customHeight="1">
      <x:c r="A14" s="106" t="str">
        <x:v>Tuberalia Base</x:v>
      </x:c>
      <x:c r="B14" s="106" t="str">
        <x:v>PerfumersWorld Tuberalia Base as supplied</x:v>
      </x:c>
      <x:c r="C14" s="106" t="str">
        <x:v>SKU 6ND09663</x:v>
      </x:c>
      <x:c r="D14" s="106" t="str">
        <x:v>https://www.perfumersworld.com/ifra/view-page.php?pro_id=6ND09663</x:v>
      </x:c>
      <x:c r="E14" s="106" t="str">
        <x:v>HAVE — PRODUCT BASIS</x:v>
      </x:c>
      <x:c r="F14" s="106" t="str">
        <x:v>Use as named base only.</x:v>
      </x:c>
      <x:c r="G14" s="106" t="str">
        <x:v>Proprietary mixture</x:v>
      </x:c>
      <x:c r="H14" s="106" t="str">
        <x:v>CLOSED BY POLICY</x:v>
      </x:c>
    </x:row>
    <x:row r="15" ht="57" customHeight="1">
      <x:c r="A15" s="106" t="str">
        <x:v>Tuberose EO Volume Grade</x:v>
      </x:c>
      <x:c r="B15" s="106" t="str">
        <x:v>Volume-grade tuberose product as supplied</x:v>
      </x:c>
      <x:c r="C15" s="106" t="str"/>
      <x:c r="D15" s="106" t="str">
        <x:v>https://www.perfumersworld.com/sitemap.php</x:v>
      </x:c>
      <x:c r="E15" s="106" t="str">
        <x:v>HAVE — PRODUCT BASIS</x:v>
      </x:c>
      <x:c r="F15" s="106" t="str">
        <x:v>No EO-purity or active-fraction claim.</x:v>
      </x:c>
      <x:c r="G15" s="106" t="str">
        <x:v>Product basis</x:v>
      </x:c>
      <x:c r="H15" s="106" t="str">
        <x:v>CLOSED BY POLICY</x:v>
      </x:c>
    </x:row>
    <x:row r="16" ht="57" customHeight="1">
      <x:c r="A16" s="106" t="str">
        <x:v>Metallic linen accords</x:v>
      </x:c>
      <x:c r="B16" s="106" t="str">
        <x:v>Several user-owned custom accords</x:v>
      </x:c>
      <x:c r="C16" s="106" t="str"/>
      <x:c r="D16" s="106" t="str"/>
      <x:c r="E16" s="106" t="str">
        <x:v>HAVE — CUSTOM PRODUCT BASIS</x:v>
      </x:c>
      <x:c r="F16" s="106" t="str">
        <x:v>Each accord must be named separately; no merged generic formula.</x:v>
      </x:c>
      <x:c r="G16" s="106" t="str">
        <x:v>Custom composition unknown</x:v>
      </x:c>
      <x:c r="H16" s="106" t="str">
        <x:v>CLOSED BY POLICY</x:v>
      </x:c>
    </x:row>
    <x:row r="17" ht="57" customHeight="1">
      <x:c r="A17" s="106" t="str">
        <x:v>Javanol</x:v>
      </x:c>
      <x:c r="B17" s="106" t="str">
        <x:v>Confirmed executable stock is Javanol 20% in DPG</x:v>
      </x:c>
      <x:c r="C17" s="106" t="str"/>
      <x:c r="D17" s="106" t="str"/>
      <x:c r="E17" s="106" t="str">
        <x:v>HAVE — 20% DPG</x:v>
      </x:c>
      <x:c r="F17" s="106" t="str">
        <x:v>Recalculate any neat-Javanol formula rows.</x:v>
      </x:c>
      <x:c r="G17" s="106" t="str">
        <x:v>Defined dilution</x:v>
      </x:c>
      <x:c r="H17" s="106" t="str">
        <x:v>CLOSED BY CONSERVATIVE POLICY</x:v>
      </x:c>
    </x:row>
    <x:row r="18" ht="57" customHeight="1">
      <x:c r="A18" s="106" t="str">
        <x:v>Hay Absolute</x:v>
      </x:c>
      <x:c r="B18" s="106" t="str">
        <x:v>Hay Absolute 10% in DPG</x:v>
      </x:c>
      <x:c r="C18" s="106" t="str"/>
      <x:c r="D18" s="106" t="str"/>
      <x:c r="E18" s="106" t="str">
        <x:v>HAVE — 10% DPG</x:v>
      </x:c>
      <x:c r="F18" s="106" t="str">
        <x:v>Use exact 10% stock.</x:v>
      </x:c>
      <x:c r="G18" s="106" t="str">
        <x:v>Defined dilution</x:v>
      </x:c>
      <x:c r="H18" s="106" t="str">
        <x:v>CLOSED</x:v>
      </x:c>
    </x:row>
    <x:row r="19" ht="57" customHeight="1">
      <x:c r="A19" s="106" t="str">
        <x:v>Generic Rose EO</x:v>
      </x:c>
      <x:c r="B19" s="106" t="str">
        <x:v>No executable generic Rose EO record; Rose de Mai 10% is separate</x:v>
      </x:c>
      <x:c r="C19" s="106" t="str"/>
      <x:c r="D19" s="106" t="str"/>
      <x:c r="E19" s="106" t="str">
        <x:v>DO NOT USE</x:v>
      </x:c>
      <x:c r="F19" s="106" t="str">
        <x:v>Hold generic Rose-EO rows unless a specific rose oil is named.</x:v>
      </x:c>
      <x:c r="G19" s="106" t="str">
        <x:v>Unconfirmed ownership/provenance</x:v>
      </x:c>
      <x:c r="H19" s="106" t="str">
        <x:v>CLOSED BY CONSERVATIVE POLICY</x:v>
      </x:c>
    </x:row>
  </x:sheetData>
  <x:mergeCells>
    <x:mergeCell ref="A1:H1"/>
    <x:mergeCell ref="A2:H3"/>
  </x:mergeCells>
  <x:conditionalFormatting sqref="H6:H19">
    <x:cfRule type="expression" dxfId="24" priority="1">
      <x:formula>ISNUMBER(SEARCH("CLOSED",H6))</x:formula>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15" hidden="0" customWidth="1"/>
    <x:col min="2" max="2" width="31" hidden="0" customWidth="1"/>
    <x:col min="3" max="3" width="30" hidden="0" customWidth="1"/>
    <x:col min="4" max="4" width="34" hidden="0" customWidth="1"/>
    <x:col min="5" max="5" width="13" hidden="0" customWidth="1"/>
    <x:col min="6" max="6" width="13" hidden="0" customWidth="1"/>
    <x:col min="7" max="7" width="13" hidden="0" customWidth="1"/>
    <x:col min="8" max="8" width="14" hidden="0" customWidth="1"/>
    <x:col min="9" max="9" width="48" hidden="0" customWidth="1"/>
    <x:col min="10" max="10" width="34" hidden="0" customWidth="1"/>
    <x:col min="11" max="11" width="26" hidden="0" customWidth="1"/>
    <x:col min="12" max="12" width="12" hidden="0" customWidth="1"/>
    <x:col min="13" max="13" width="20" hidden="0" customWidth="1"/>
  </x:cols>
  <x:sheetData>
    <x:row r="1">
      <x:c r="A1" s="111" t="str">
        <x:v>CONSTRUCTIBLE ACCORDS • INVENTORY-BASED BENCH CANDIDATES</x:v>
      </x:c>
      <x:c r="B1" s="111"/>
      <x:c r="C1" s="111"/>
      <x:c r="D1" s="111"/>
      <x:c r="E1" s="111"/>
      <x:c r="F1" s="111"/>
      <x:c r="G1" s="111"/>
      <x:c r="H1" s="111"/>
      <x:c r="I1" s="111"/>
      <x:c r="J1" s="111"/>
      <x:c r="K1" s="111"/>
      <x:c r="L1" s="111"/>
      <x:c r="M1" s="111"/>
    </x:row>
    <x:row r="2">
      <x:c r="A2" s="115" t="str">
        <x:v>These accords close availability gaps without pretending to be original proprietary bases or natural extracts. Every accord is a v0.1 computational bench candidate made from Kenny's actual stocks. Smell each accord alone before placing it into a commercial-fragrance reconstruction.</x:v>
      </x:c>
      <x:c r="B2" s="115"/>
      <x:c r="C2" s="115"/>
      <x:c r="D2" s="115"/>
      <x:c r="E2" s="115"/>
      <x:c r="F2" s="115"/>
      <x:c r="G2" s="115"/>
      <x:c r="H2" s="115"/>
      <x:c r="I2" s="115"/>
      <x:c r="J2" s="115"/>
      <x:c r="K2" s="115"/>
      <x:c r="L2" s="115"/>
      <x:c r="M2" s="115"/>
    </x:row>
    <x:row r="3">
      <x:c r="A3" s="115"/>
      <x:c r="B3" s="115"/>
      <x:c r="C3" s="115"/>
      <x:c r="D3" s="115"/>
      <x:c r="E3" s="115"/>
      <x:c r="F3" s="115"/>
      <x:c r="G3" s="115"/>
      <x:c r="H3" s="115"/>
      <x:c r="I3" s="115"/>
      <x:c r="J3" s="115"/>
      <x:c r="K3" s="115"/>
      <x:c r="L3" s="115"/>
      <x:c r="M3" s="115"/>
    </x:row>
    <x:row r="5">
      <x:c r="A5" s="120" t="str">
        <x:v>Accord ID</x:v>
      </x:c>
      <x:c r="B5" s="120" t="str">
        <x:v>Accord name</x:v>
      </x:c>
      <x:c r="C5" s="120" t="str">
        <x:v>Inventory classification</x:v>
      </x:c>
      <x:c r="D5" s="120" t="str">
        <x:v>What it can represent</x:v>
      </x:c>
      <x:c r="E5" s="120" t="str">
        <x:v>What it cannot represent</x:v>
      </x:c>
      <x:c r="F5" s="120" t="str">
        <x:v>First action</x:v>
      </x:c>
      <x:c r="G5" s="120" t="str">
        <x:v>Commercial-similarity state</x:v>
      </x:c>
      <x:c r="H5" s="120" t="str">
        <x:v>Primary technical source</x:v>
      </x:c>
    </x:row>
    <x:row r="6" ht="65" customHeight="1">
      <x:c r="A6" s="44" t="str">
        <x:v>ACC-APL-01</x:v>
      </x:c>
      <x:c r="B6" s="44" t="str">
        <x:v>Green Apple Accord v0.1</x:v>
      </x:c>
      <x:c r="C6" s="44" t="str">
        <x:v>CONSTRUCTIBLE • NOT YET MIXED</x:v>
      </x:c>
      <x:c r="D6" s="44" t="str">
        <x:v>Crisp green apple / peel / shampoo-apple effect.</x:v>
      </x:c>
      <x:c r="E6" s="44" t="str">
        <x:v>A proprietary apple base or an exact commercial-perfume apple accord.</x:v>
      </x:c>
      <x:c r="F6" s="44" t="str">
        <x:v>Mix 1 mL, rest 48 hours, smell neat and at 10%.</x:v>
      </x:c>
      <x:c r="G6" s="44" t="str">
        <x:v>COMPUTATIONAL ACCORD CANDIDATE</x:v>
      </x:c>
      <x:c r="H6" s="44" t="str">
        <x:v>https://www.iff.com/scent/ingredients-compendium/hexyl-acetate/</x:v>
      </x:c>
    </x:row>
    <x:row r="7" ht="65" customHeight="1">
      <x:c r="A7" s="44" t="str">
        <x:v>ACC-PER-01</x:v>
      </x:c>
      <x:c r="B7" s="44" t="str">
        <x:v>Green Pear Accord v0.1</x:v>
      </x:c>
      <x:c r="C7" s="44" t="str">
        <x:v>CONSTRUCTIBLE • NOT YET MIXED</x:v>
      </x:c>
      <x:c r="D7" s="44" t="str">
        <x:v>Green watery pear / peel effect from owned fruit and green materials.</x:v>
      </x:c>
      <x:c r="E7" s="44" t="str">
        <x:v>A juicy pear ester base containing unavailable proprietary pear molecules.</x:v>
      </x:c>
      <x:c r="F7" s="44" t="str">
        <x:v>Mix 1 mL, rest 48 hours, compare against the target's pear character.</x:v>
      </x:c>
      <x:c r="G7" s="44" t="str">
        <x:v>COMPUTATIONAL ACCORD CANDIDATE</x:v>
      </x:c>
      <x:c r="H7" s="44" t="str">
        <x:v>https://www.iff.com/scent/ingredients-compendium/hexyl-acetate/</x:v>
      </x:c>
    </x:row>
    <x:row r="8" ht="65" customHeight="1">
      <x:c r="A8" s="44" t="str">
        <x:v>ACC-HAZ-01</x:v>
      </x:c>
      <x:c r="B8" s="44" t="str">
        <x:v>Hazelnut-Praline Accord v0.1</x:v>
      </x:c>
      <x:c r="C8" s="44" t="str">
        <x:v>CONSTRUCTIBLE • NOT YET MIXED</x:v>
      </x:c>
      <x:c r="D8" s="44" t="str">
        <x:v>Roasted hazelnut, cocoa and praline direction.</x:v>
      </x:c>
      <x:c r="E8" s="44" t="str">
        <x:v>A single-material hazelnut identity; 2-AP alone is insufficient.</x:v>
      </x:c>
      <x:c r="F8" s="44" t="str">
        <x:v>Prepare 2-AP 1% in DPG, then mix 1 mL and evaluate at 1–10%.</x:v>
      </x:c>
      <x:c r="G8" s="44" t="str">
        <x:v>COMPUTATIONAL ACCORD CANDIDATE</x:v>
      </x:c>
      <x:c r="H8" s="44" t="str">
        <x:v>https://www.perfumersworld.com/ifra/view-page.php?pro_id=1EN13109</x:v>
      </x:c>
    </x:row>
    <x:row r="9" ht="65" customHeight="1">
      <x:c r="A9" s="44" t="str">
        <x:v>ACC-AMB-01</x:v>
      </x:c>
      <x:c r="B9" s="44" t="str">
        <x:v>Ambergris Molecular Base v0.1</x:v>
      </x:c>
      <x:c r="C9" s="44" t="str">
        <x:v>CONSTRUCTIBLE • NOT NATURAL AMBERGRIS</x:v>
      </x:c>
      <x:c r="D9" s="44" t="str">
        <x:v>Modern ambrox/ambergris-style mineral, woody, diffusive base.</x:v>
      </x:c>
      <x:c r="E9" s="44" t="str">
        <x:v>Natural ambergris tincture, its full animalic-marine complexity, or a disclosed commercial base.</x:v>
      </x:c>
      <x:c r="F9" s="44" t="str">
        <x:v>Mix 1 mL and test as a base module before target use.</x:v>
      </x:c>
      <x:c r="G9" s="44" t="str">
        <x:v>COMPUTATIONAL ACCORD CANDIDATE</x:v>
      </x:c>
      <x:c r="H9" s="44" t="str">
        <x:v>https://www.givaudan.com/fragrance-beauty/fragrance-ingredients-business/fragrance-molecules/ambrofix</x:v>
      </x:c>
    </x:row>
    <x:row r="10" ht="65" customHeight="1">
      <x:c r="A10" s="44" t="str">
        <x:v>ACC-OBF-01</x:v>
      </x:c>
      <x:c r="B10" s="44" t="str">
        <x:v>Orange Blossom Accord v0.1</x:v>
      </x:c>
      <x:c r="C10" s="44" t="str">
        <x:v>CONSTRUCTIBLE • NOT ABSOLUTE</x:v>
      </x:c>
      <x:c r="D10" s="44" t="str">
        <x:v>Neroli-orange-blossom floral architecture.</x:v>
      </x:c>
      <x:c r="E10" s="44" t="str">
        <x:v>Solvent-extracted Orange Blossom Absolute or its exact natural minor components.</x:v>
      </x:c>
      <x:c r="F10" s="44" t="str">
        <x:v>Mix 1 mL, rest 72 hours, test alone before formula use.</x:v>
      </x:c>
      <x:c r="G10" s="44" t="str">
        <x:v>COMPUTATIONAL ACCORD CANDIDATE</x:v>
      </x:c>
      <x:c r="H10" s="44" t="str">
        <x:v>https://perfumersworld.com/ifra/view-page.php?ifra=defaultOpen4&amp;pro_id=5NC09635</x:v>
      </x:c>
    </x:row>
    <x:row r="11" ht="65" customHeight="1">
      <x:c r="A11" s="44" t="str">
        <x:v>ACC-LIN-01</x:v>
      </x:c>
      <x:c r="B11" s="44" t="str">
        <x:v>Metallic Linen Accord v0.1</x:v>
      </x:c>
      <x:c r="C11" s="44" t="str">
        <x:v>CONSTRUCTIBLE • NOT YET MIXED</x:v>
      </x:c>
      <x:c r="D11" s="44" t="str">
        <x:v>Cool clean textile musk, metallic aldehydic air and restrained fresh-linen lift.</x:v>
      </x:c>
      <x:c r="E11" s="44" t="str">
        <x:v>A mystery proprietary linen base or proof of Prada L'Homme similarity.</x:v>
      </x:c>
      <x:c r="F11" s="44" t="str">
        <x:v>Mix 1 mL; tune against real perfume opening. Prevent marine overdose.</x:v>
      </x:c>
      <x:c r="G11" s="44" t="str">
        <x:v>COMPUTATIONAL ACCORD CANDIDATE</x:v>
      </x:c>
      <x:c r="H11" s="44" t="str">
        <x:v>https://www.iff.com/scent/ingredients-compendium/floralozone/</x:v>
      </x:c>
    </x:row>
    <x:row r="12" ht="65" customHeight="1">
      <x:c r="A12" s="44" t="str">
        <x:v>ACC-LIC-01</x:v>
      </x:c>
      <x:c r="B12" s="44" t="str">
        <x:v>Dark Licorice Accord v0.1</x:v>
      </x:c>
      <x:c r="C12" s="44" t="str">
        <x:v>CONSTRUCTIBLE • NOT YET MIXED</x:v>
      </x:c>
      <x:c r="D12" s="44" t="str">
        <x:v>Anisic, dark, coumarinic licorice effect.</x:v>
      </x:c>
      <x:c r="E12" s="44" t="str">
        <x:v>Anise EO alone or an undisclosed proprietary licorice base.</x:v>
      </x:c>
      <x:c r="F12" s="44" t="str">
        <x:v>Mix 1 mL and evaluate at low dosage before target use.</x:v>
      </x:c>
      <x:c r="G12" s="44" t="str">
        <x:v>COMPUTATIONAL ACCORD CANDIDATE</x:v>
      </x:c>
      <x:c r="H12" s="44" t="str">
        <x:v>https://www.perfumersworld.com/sitemap-66.php</x:v>
      </x:c>
    </x:row>
    <x:row r="15">
      <x:c r="A15" s="120" t="str">
        <x:v>Accord ID</x:v>
      </x:c>
      <x:c r="B15" s="120" t="str">
        <x:v>Accord name</x:v>
      </x:c>
      <x:c r="C15" s="120" t="str">
        <x:v>Material</x:v>
      </x:c>
      <x:c r="D15" s="120" t="str">
        <x:v>Exact stock to use</x:v>
      </x:c>
      <x:c r="E15" s="120" t="str">
        <x:v>Active fraction</x:v>
      </x:c>
      <x:c r="F15" s="120" t="str">
        <x:v>Parts / 1,000</x:v>
      </x:c>
      <x:c r="G15" s="120" t="str">
        <x:v>1 mL raw µL</x:v>
      </x:c>
      <x:c r="H15" s="120" t="str">
        <x:v>10 mL raw µL</x:v>
      </x:c>
      <x:c r="I15" s="120" t="str">
        <x:v>Functional role</x:v>
      </x:c>
      <x:c r="J15" s="120" t="str">
        <x:v>Evidence class</x:v>
      </x:c>
      <x:c r="K15" s="120" t="str">
        <x:v>Stock gate</x:v>
      </x:c>
      <x:c r="L15" s="120" t="str">
        <x:v>Accord total</x:v>
      </x:c>
      <x:c r="M15" s="120" t="str">
        <x:v>Status</x:v>
      </x:c>
    </x:row>
    <x:row r="16" ht="37" customHeight="1">
      <x:c r="A16" s="44" t="str">
        <x:v>ACC-APL-01</x:v>
      </x:c>
      <x:c r="B16" s="44" t="str">
        <x:v>Green Apple Accord v0.1</x:v>
      </x:c>
      <x:c r="C16" s="44" t="str">
        <x:v>Hexyl Acetate</x:v>
      </x:c>
      <x:c r="D16" s="44" t="str">
        <x:v>neat/as supplied</x:v>
      </x:c>
      <x:c r="E16" s="46" t="n">
        <x:v>1</x:v>
      </x:c>
      <x:c r="F16" s="48" t="n">
        <x:v>300</x:v>
      </x:c>
      <x:c r="G16" s="48" t="n">
        <x:f>F16</x:f>
        <x:v>300</x:v>
      </x:c>
      <x:c r="H16" s="48" t="n">
        <x:f>F16*10</x:f>
        <x:v>3000</x:v>
      </x:c>
      <x:c r="I16" s="44" t="str">
        <x:v>Green apple/pear volatile fruit body</x:v>
      </x:c>
      <x:c r="J16" s="44" t="str">
        <x:v>FUNCTIONAL RECONSTRUCTION HYPOTHESIS</x:v>
      </x:c>
      <x:c r="K16" s="44" t="str">
        <x:v>PASS</x:v>
      </x:c>
      <x:c r="L16" s="44" t="n">
        <x:f>SUMIF($A$16:$A$99,A16,$F$16:$F$99)</x:f>
        <x:v>1000</x:v>
      </x:c>
      <x:c r="M16" s="44" t="str">
        <x:v>BENCH CANDIDATE</x:v>
      </x:c>
    </x:row>
    <x:row r="17" ht="37" customHeight="1">
      <x:c r="A17" s="44" t="str">
        <x:v>ACC-APL-01</x:v>
      </x:c>
      <x:c r="B17" s="44" t="str">
        <x:v>Green Apple Accord v0.1</x:v>
      </x:c>
      <x:c r="C17" s="44" t="str">
        <x:v>Verdox</x:v>
      </x:c>
      <x:c r="D17" s="44" t="str">
        <x:v>neat/as supplied</x:v>
      </x:c>
      <x:c r="E17" s="46" t="n">
        <x:v>1</x:v>
      </x:c>
      <x:c r="F17" s="48" t="n">
        <x:v>250</x:v>
      </x:c>
      <x:c r="G17" s="48" t="n">
        <x:f>F17</x:f>
        <x:v>250</x:v>
      </x:c>
      <x:c r="H17" s="48" t="n">
        <x:f>F17*10</x:f>
        <x:v>2500</x:v>
      </x:c>
      <x:c r="I17" s="44" t="str">
        <x:v>Green apple body and diffusion</x:v>
      </x:c>
      <x:c r="J17" s="44" t="str">
        <x:v>FUNCTIONAL RECONSTRUCTION HYPOTHESIS</x:v>
      </x:c>
      <x:c r="K17" s="44" t="str">
        <x:v>PASS</x:v>
      </x:c>
      <x:c r="L17" s="44" t="n">
        <x:f>SUMIF($A$16:$A$99,A17,$F$16:$F$99)</x:f>
        <x:v>1000</x:v>
      </x:c>
      <x:c r="M17" s="44" t="str">
        <x:v>BENCH CANDIDATE</x:v>
      </x:c>
    </x:row>
    <x:row r="18" ht="37" customHeight="1">
      <x:c r="A18" s="44" t="str">
        <x:v>ACC-APL-01</x:v>
      </x:c>
      <x:c r="B18" s="44" t="str">
        <x:v>Green Apple Accord v0.1</x:v>
      </x:c>
      <x:c r="C18" s="44" t="str">
        <x:v>Verdyl Acetate</x:v>
      </x:c>
      <x:c r="D18" s="44" t="str">
        <x:v>neat/as supplied</x:v>
      </x:c>
      <x:c r="E18" s="46" t="n">
        <x:v>1</x:v>
      </x:c>
      <x:c r="F18" s="48" t="n">
        <x:v>160</x:v>
      </x:c>
      <x:c r="G18" s="48" t="n">
        <x:f>F18</x:f>
        <x:v>160</x:v>
      </x:c>
      <x:c r="H18" s="48" t="n">
        <x:f>F18*10</x:f>
        <x:v>1600</x:v>
      </x:c>
      <x:c r="I18" s="44" t="str">
        <x:v>Green woody-fruity body</x:v>
      </x:c>
      <x:c r="J18" s="44" t="str">
        <x:v>FUNCTIONAL RECONSTRUCTION HYPOTHESIS</x:v>
      </x:c>
      <x:c r="K18" s="44" t="str">
        <x:v>PASS</x:v>
      </x:c>
      <x:c r="L18" s="44" t="n">
        <x:f>SUMIF($A$16:$A$99,A18,$F$16:$F$99)</x:f>
        <x:v>1000</x:v>
      </x:c>
      <x:c r="M18" s="44" t="str">
        <x:v>BENCH CANDIDATE</x:v>
      </x:c>
    </x:row>
    <x:row r="19" ht="37" customHeight="1">
      <x:c r="A19" s="44" t="str">
        <x:v>ACC-APL-01</x:v>
      </x:c>
      <x:c r="B19" s="44" t="str">
        <x:v>Green Apple Accord v0.1</x:v>
      </x:c>
      <x:c r="C19" s="44" t="str">
        <x:v>Hexyl Salicylate</x:v>
      </x:c>
      <x:c r="D19" s="44" t="str">
        <x:v>neat/as supplied</x:v>
      </x:c>
      <x:c r="E19" s="46" t="n">
        <x:v>1</x:v>
      </x:c>
      <x:c r="F19" s="48" t="n">
        <x:v>100</x:v>
      </x:c>
      <x:c r="G19" s="48" t="n">
        <x:f>F19</x:f>
        <x:v>100</x:v>
      </x:c>
      <x:c r="H19" s="48" t="n">
        <x:f>F19*10</x:f>
        <x:v>1000</x:v>
      </x:c>
      <x:c r="I19" s="44" t="str">
        <x:v>Smooth floral-fruity body and persistence</x:v>
      </x:c>
      <x:c r="J19" s="44" t="str">
        <x:v>FUNCTIONAL RECONSTRUCTION HYPOTHESIS</x:v>
      </x:c>
      <x:c r="K19" s="44" t="str">
        <x:v>PASS</x:v>
      </x:c>
      <x:c r="L19" s="44" t="n">
        <x:f>SUMIF($A$16:$A$99,A19,$F$16:$F$99)</x:f>
        <x:v>1000</x:v>
      </x:c>
      <x:c r="M19" s="44" t="str">
        <x:v>BENCH CANDIDATE</x:v>
      </x:c>
    </x:row>
    <x:row r="20" ht="37" customHeight="1">
      <x:c r="A20" s="44" t="str">
        <x:v>ACC-APL-01</x:v>
      </x:c>
      <x:c r="B20" s="44" t="str">
        <x:v>Green Apple Accord v0.1</x:v>
      </x:c>
      <x:c r="C20" s="44" t="str">
        <x:v>Allyl Amyl Glycolate</x:v>
      </x:c>
      <x:c r="D20" s="44" t="str">
        <x:v>prepare 10% in DPG</x:v>
      </x:c>
      <x:c r="E20" s="46" t="n">
        <x:v>0.1</x:v>
      </x:c>
      <x:c r="F20" s="48" t="n">
        <x:v>70</x:v>
      </x:c>
      <x:c r="G20" s="48" t="n">
        <x:f>F20</x:f>
        <x:v>70</x:v>
      </x:c>
      <x:c r="H20" s="48" t="n">
        <x:f>F20*10</x:f>
        <x:v>700</x:v>
      </x:c>
      <x:c r="I20" s="44" t="str">
        <x:v>Pineapple-green apple bite</x:v>
      </x:c>
      <x:c r="J20" s="44" t="str">
        <x:v>FUNCTIONAL RECONSTRUCTION HYPOTHESIS</x:v>
      </x:c>
      <x:c r="K20" s="44" t="str">
        <x:v>PREPARE / VERIFY EXACT STOCK</x:v>
      </x:c>
      <x:c r="L20" s="44" t="n">
        <x:f>SUMIF($A$16:$A$99,A20,$F$16:$F$99)</x:f>
        <x:v>1000</x:v>
      </x:c>
      <x:c r="M20" s="44" t="str">
        <x:v>BENCH CANDIDATE</x:v>
      </x:c>
    </x:row>
    <x:row r="21" ht="37" customHeight="1">
      <x:c r="A21" s="44" t="str">
        <x:v>ACC-APL-01</x:v>
      </x:c>
      <x:c r="B21" s="44" t="str">
        <x:v>Green Apple Accord v0.1</x:v>
      </x:c>
      <x:c r="C21" s="44" t="str">
        <x:v>cis-3-Hexenol</x:v>
      </x:c>
      <x:c r="D21" s="44" t="str">
        <x:v>1% working stock</x:v>
      </x:c>
      <x:c r="E21" s="46" t="n">
        <x:v>0.01</x:v>
      </x:c>
      <x:c r="F21" s="48" t="n">
        <x:v>35</x:v>
      </x:c>
      <x:c r="G21" s="48" t="n">
        <x:f>F21</x:f>
        <x:v>35</x:v>
      </x:c>
      <x:c r="H21" s="48" t="n">
        <x:f>F21*10</x:f>
        <x:v>350</x:v>
      </x:c>
      <x:c r="I21" s="44" t="str">
        <x:v>Fresh-cut green peel</x:v>
      </x:c>
      <x:c r="J21" s="44" t="str">
        <x:v>FUNCTIONAL RECONSTRUCTION HYPOTHESIS</x:v>
      </x:c>
      <x:c r="K21" s="44" t="str">
        <x:v>PASS</x:v>
      </x:c>
      <x:c r="L21" s="44" t="n">
        <x:f>SUMIF($A$16:$A$99,A21,$F$16:$F$99)</x:f>
        <x:v>1000</x:v>
      </x:c>
      <x:c r="M21" s="44" t="str">
        <x:v>BENCH CANDIDATE</x:v>
      </x:c>
    </x:row>
    <x:row r="22" ht="37" customHeight="1">
      <x:c r="A22" s="44" t="str">
        <x:v>ACC-APL-01</x:v>
      </x:c>
      <x:c r="B22" s="44" t="str">
        <x:v>Green Apple Accord v0.1</x:v>
      </x:c>
      <x:c r="C22" s="44" t="str">
        <x:v>Ethyl 2-Methylbutyrate</x:v>
      </x:c>
      <x:c r="D22" s="44" t="str">
        <x:v>0.1% in DPG</x:v>
      </x:c>
      <x:c r="E22" s="46" t="n">
        <x:v>0.001</x:v>
      </x:c>
      <x:c r="F22" s="48" t="n">
        <x:v>25</x:v>
      </x:c>
      <x:c r="G22" s="48" t="n">
        <x:f>F22</x:f>
        <x:v>25</x:v>
      </x:c>
      <x:c r="H22" s="48" t="n">
        <x:f>F22*10</x:f>
        <x:v>250</x:v>
      </x:c>
      <x:c r="I22" s="44" t="str">
        <x:v>High-impact juicy fruit trace</x:v>
      </x:c>
      <x:c r="J22" s="44" t="str">
        <x:v>FUNCTIONAL RECONSTRUCTION HYPOTHESIS</x:v>
      </x:c>
      <x:c r="K22" s="44" t="str">
        <x:v>PASS</x:v>
      </x:c>
      <x:c r="L22" s="44" t="n">
        <x:f>SUMIF($A$16:$A$99,A22,$F$16:$F$99)</x:f>
        <x:v>1000</x:v>
      </x:c>
      <x:c r="M22" s="44" t="str">
        <x:v>BENCH CANDIDATE</x:v>
      </x:c>
    </x:row>
    <x:row r="23" ht="37" customHeight="1">
      <x:c r="A23" s="44" t="str">
        <x:v>ACC-APL-01</x:v>
      </x:c>
      <x:c r="B23" s="44" t="str">
        <x:v>Green Apple Accord v0.1</x:v>
      </x:c>
      <x:c r="C23" s="44" t="str">
        <x:v>Melonal</x:v>
      </x:c>
      <x:c r="D23" s="44" t="str">
        <x:v>prepare 1% in DPG</x:v>
      </x:c>
      <x:c r="E23" s="46" t="n">
        <x:v>0.01</x:v>
      </x:c>
      <x:c r="F23" s="48" t="n">
        <x:v>20</x:v>
      </x:c>
      <x:c r="G23" s="48" t="n">
        <x:f>F23</x:f>
        <x:v>20</x:v>
      </x:c>
      <x:c r="H23" s="48" t="n">
        <x:f>F23*10</x:f>
        <x:v>200</x:v>
      </x:c>
      <x:c r="I23" s="44" t="str">
        <x:v>Watery fruit lift</x:v>
      </x:c>
      <x:c r="J23" s="44" t="str">
        <x:v>FUNCTIONAL RECONSTRUCTION HYPOTHESIS</x:v>
      </x:c>
      <x:c r="K23" s="44" t="str">
        <x:v>PREPARE / VERIFY EXACT STOCK</x:v>
      </x:c>
      <x:c r="L23" s="44" t="n">
        <x:f>SUMIF($A$16:$A$99,A23,$F$16:$F$99)</x:f>
        <x:v>1000</x:v>
      </x:c>
      <x:c r="M23" s="44" t="str">
        <x:v>BENCH CANDIDATE</x:v>
      </x:c>
    </x:row>
    <x:row r="24" ht="37" customHeight="1">
      <x:c r="A24" s="44" t="str">
        <x:v>ACC-APL-01</x:v>
      </x:c>
      <x:c r="B24" s="44" t="str">
        <x:v>Green Apple Accord v0.1</x:v>
      </x:c>
      <x:c r="C24" s="44" t="str">
        <x:v>Dihydromyrcenol</x:v>
      </x:c>
      <x:c r="D24" s="44" t="str">
        <x:v>neat/as supplied</x:v>
      </x:c>
      <x:c r="E24" s="46" t="n">
        <x:v>1</x:v>
      </x:c>
      <x:c r="F24" s="48" t="n">
        <x:v>25</x:v>
      </x:c>
      <x:c r="G24" s="48" t="n">
        <x:f>F24</x:f>
        <x:v>25</x:v>
      </x:c>
      <x:c r="H24" s="48" t="n">
        <x:f>F24*10</x:f>
        <x:v>250</x:v>
      </x:c>
      <x:c r="I24" s="44" t="str">
        <x:v>Clean fresh diffusion</x:v>
      </x:c>
      <x:c r="J24" s="44" t="str">
        <x:v>FUNCTIONAL RECONSTRUCTION HYPOTHESIS</x:v>
      </x:c>
      <x:c r="K24" s="44" t="str">
        <x:v>PASS</x:v>
      </x:c>
      <x:c r="L24" s="44" t="n">
        <x:f>SUMIF($A$16:$A$99,A24,$F$16:$F$99)</x:f>
        <x:v>1000</x:v>
      </x:c>
      <x:c r="M24" s="44" t="str">
        <x:v>BENCH CANDIDATE</x:v>
      </x:c>
    </x:row>
    <x:row r="25" ht="37" customHeight="1">
      <x:c r="A25" s="44" t="str">
        <x:v>ACC-APL-01</x:v>
      </x:c>
      <x:c r="B25" s="44" t="str">
        <x:v>Green Apple Accord v0.1</x:v>
      </x:c>
      <x:c r="C25" s="44" t="str">
        <x:v>Bergamot FCF Oil Sicilian</x:v>
      </x:c>
      <x:c r="D25" s="44" t="str">
        <x:v>neat/as supplied</x:v>
      </x:c>
      <x:c r="E25" s="46" t="n">
        <x:v>1</x:v>
      </x:c>
      <x:c r="F25" s="48" t="n">
        <x:v>15</x:v>
      </x:c>
      <x:c r="G25" s="48" t="n">
        <x:f>F25</x:f>
        <x:v>15</x:v>
      </x:c>
      <x:c r="H25" s="48" t="n">
        <x:f>F25*10</x:f>
        <x:v>150</x:v>
      </x:c>
      <x:c r="I25" s="44" t="str">
        <x:v>Citrus lift</x:v>
      </x:c>
      <x:c r="J25" s="44" t="str">
        <x:v>FUNCTIONAL RECONSTRUCTION HYPOTHESIS</x:v>
      </x:c>
      <x:c r="K25" s="44" t="str">
        <x:v>PASS</x:v>
      </x:c>
      <x:c r="L25" s="44" t="n">
        <x:f>SUMIF($A$16:$A$99,A25,$F$16:$F$99)</x:f>
        <x:v>1000</x:v>
      </x:c>
      <x:c r="M25" s="44" t="str">
        <x:v>BENCH CANDIDATE</x:v>
      </x:c>
    </x:row>
    <x:row r="26" ht="37" customHeight="1">
      <x:c r="A26" s="44" t="str">
        <x:v>ACC-PER-01</x:v>
      </x:c>
      <x:c r="B26" s="44" t="str">
        <x:v>Green Pear Accord v0.1</x:v>
      </x:c>
      <x:c r="C26" s="44" t="str">
        <x:v>Hexyl Acetate</x:v>
      </x:c>
      <x:c r="D26" s="44" t="str">
        <x:v>neat/as supplied</x:v>
      </x:c>
      <x:c r="E26" s="46" t="n">
        <x:v>1</x:v>
      </x:c>
      <x:c r="F26" s="48" t="n">
        <x:v>250</x:v>
      </x:c>
      <x:c r="G26" s="48" t="n">
        <x:f>F26</x:f>
        <x:v>250</x:v>
      </x:c>
      <x:c r="H26" s="48" t="n">
        <x:f>F26*10</x:f>
        <x:v>2500</x:v>
      </x:c>
      <x:c r="I26" s="44" t="str">
        <x:v>Green pear body</x:v>
      </x:c>
      <x:c r="J26" s="44" t="str">
        <x:v>FUNCTIONAL RECONSTRUCTION HYPOTHESIS</x:v>
      </x:c>
      <x:c r="K26" s="44" t="str">
        <x:v>PASS</x:v>
      </x:c>
      <x:c r="L26" s="44" t="n">
        <x:f>SUMIF($A$16:$A$99,A26,$F$16:$F$99)</x:f>
        <x:v>1000</x:v>
      </x:c>
      <x:c r="M26" s="44" t="str">
        <x:v>BENCH CANDIDATE</x:v>
      </x:c>
    </x:row>
    <x:row r="27" ht="37" customHeight="1">
      <x:c r="A27" s="44" t="str">
        <x:v>ACC-PER-01</x:v>
      </x:c>
      <x:c r="B27" s="44" t="str">
        <x:v>Green Pear Accord v0.1</x:v>
      </x:c>
      <x:c r="C27" s="44" t="str">
        <x:v>Verdox</x:v>
      </x:c>
      <x:c r="D27" s="44" t="str">
        <x:v>neat/as supplied</x:v>
      </x:c>
      <x:c r="E27" s="46" t="n">
        <x:v>1</x:v>
      </x:c>
      <x:c r="F27" s="48" t="n">
        <x:v>200</x:v>
      </x:c>
      <x:c r="G27" s="48" t="n">
        <x:f>F27</x:f>
        <x:v>200</x:v>
      </x:c>
      <x:c r="H27" s="48" t="n">
        <x:f>F27*10</x:f>
        <x:v>2000</x:v>
      </x:c>
      <x:c r="I27" s="44" t="str">
        <x:v>Green fruity body</x:v>
      </x:c>
      <x:c r="J27" s="44" t="str">
        <x:v>FUNCTIONAL RECONSTRUCTION HYPOTHESIS</x:v>
      </x:c>
      <x:c r="K27" s="44" t="str">
        <x:v>PASS</x:v>
      </x:c>
      <x:c r="L27" s="44" t="n">
        <x:f>SUMIF($A$16:$A$99,A27,$F$16:$F$99)</x:f>
        <x:v>1000</x:v>
      </x:c>
      <x:c r="M27" s="44" t="str">
        <x:v>BENCH CANDIDATE</x:v>
      </x:c>
    </x:row>
    <x:row r="28" ht="37" customHeight="1">
      <x:c r="A28" s="44" t="str">
        <x:v>ACC-PER-01</x:v>
      </x:c>
      <x:c r="B28" s="44" t="str">
        <x:v>Green Pear Accord v0.1</x:v>
      </x:c>
      <x:c r="C28" s="44" t="str">
        <x:v>Verdyl Acetate</x:v>
      </x:c>
      <x:c r="D28" s="44" t="str">
        <x:v>neat/as supplied</x:v>
      </x:c>
      <x:c r="E28" s="46" t="n">
        <x:v>1</x:v>
      </x:c>
      <x:c r="F28" s="48" t="n">
        <x:v>130</x:v>
      </x:c>
      <x:c r="G28" s="48" t="n">
        <x:f>F28</x:f>
        <x:v>130</x:v>
      </x:c>
      <x:c r="H28" s="48" t="n">
        <x:f>F28*10</x:f>
        <x:v>1300</x:v>
      </x:c>
      <x:c r="I28" s="44" t="str">
        <x:v>Green woody-fruity persistence</x:v>
      </x:c>
      <x:c r="J28" s="44" t="str">
        <x:v>FUNCTIONAL RECONSTRUCTION HYPOTHESIS</x:v>
      </x:c>
      <x:c r="K28" s="44" t="str">
        <x:v>PASS</x:v>
      </x:c>
      <x:c r="L28" s="44" t="n">
        <x:f>SUMIF($A$16:$A$99,A28,$F$16:$F$99)</x:f>
        <x:v>1000</x:v>
      </x:c>
      <x:c r="M28" s="44" t="str">
        <x:v>BENCH CANDIDATE</x:v>
      </x:c>
    </x:row>
    <x:row r="29" ht="37" customHeight="1">
      <x:c r="A29" s="44" t="str">
        <x:v>ACC-PER-01</x:v>
      </x:c>
      <x:c r="B29" s="44" t="str">
        <x:v>Green Pear Accord v0.1</x:v>
      </x:c>
      <x:c r="C29" s="44" t="str">
        <x:v>Hexyl Salicylate</x:v>
      </x:c>
      <x:c r="D29" s="44" t="str">
        <x:v>neat/as supplied</x:v>
      </x:c>
      <x:c r="E29" s="46" t="n">
        <x:v>1</x:v>
      </x:c>
      <x:c r="F29" s="48" t="n">
        <x:v>100</x:v>
      </x:c>
      <x:c r="G29" s="48" t="n">
        <x:f>F29</x:f>
        <x:v>100</x:v>
      </x:c>
      <x:c r="H29" s="48" t="n">
        <x:f>F29*10</x:f>
        <x:v>1000</x:v>
      </x:c>
      <x:c r="I29" s="44" t="str">
        <x:v>Smooth pear skin and body</x:v>
      </x:c>
      <x:c r="J29" s="44" t="str">
        <x:v>FUNCTIONAL RECONSTRUCTION HYPOTHESIS</x:v>
      </x:c>
      <x:c r="K29" s="44" t="str">
        <x:v>PASS</x:v>
      </x:c>
      <x:c r="L29" s="44" t="n">
        <x:f>SUMIF($A$16:$A$99,A29,$F$16:$F$99)</x:f>
        <x:v>1000</x:v>
      </x:c>
      <x:c r="M29" s="44" t="str">
        <x:v>BENCH CANDIDATE</x:v>
      </x:c>
    </x:row>
    <x:row r="30" ht="37" customHeight="1">
      <x:c r="A30" s="44" t="str">
        <x:v>ACC-PER-01</x:v>
      </x:c>
      <x:c r="B30" s="44" t="str">
        <x:v>Green Pear Accord v0.1</x:v>
      </x:c>
      <x:c r="C30" s="44" t="str">
        <x:v>Benzyl Acetate</x:v>
      </x:c>
      <x:c r="D30" s="44" t="str">
        <x:v>neat/as supplied</x:v>
      </x:c>
      <x:c r="E30" s="46" t="n">
        <x:v>1</x:v>
      </x:c>
      <x:c r="F30" s="48" t="n">
        <x:v>80</x:v>
      </x:c>
      <x:c r="G30" s="48" t="n">
        <x:f>F30</x:f>
        <x:v>80</x:v>
      </x:c>
      <x:c r="H30" s="48" t="n">
        <x:f>F30*10</x:f>
        <x:v>800</x:v>
      </x:c>
      <x:c r="I30" s="44" t="str">
        <x:v>Juicy floral-fruity volume</x:v>
      </x:c>
      <x:c r="J30" s="44" t="str">
        <x:v>FUNCTIONAL RECONSTRUCTION HYPOTHESIS</x:v>
      </x:c>
      <x:c r="K30" s="44" t="str">
        <x:v>PASS</x:v>
      </x:c>
      <x:c r="L30" s="44" t="n">
        <x:f>SUMIF($A$16:$A$99,A30,$F$16:$F$99)</x:f>
        <x:v>1000</x:v>
      </x:c>
      <x:c r="M30" s="44" t="str">
        <x:v>BENCH CANDIDATE</x:v>
      </x:c>
    </x:row>
    <x:row r="31" ht="37" customHeight="1">
      <x:c r="A31" s="44" t="str">
        <x:v>ACC-PER-01</x:v>
      </x:c>
      <x:c r="B31" s="44" t="str">
        <x:v>Green Pear Accord v0.1</x:v>
      </x:c>
      <x:c r="C31" s="44" t="str">
        <x:v>Allyl Amyl Glycolate</x:v>
      </x:c>
      <x:c r="D31" s="44" t="str">
        <x:v>prepare 10% in DPG</x:v>
      </x:c>
      <x:c r="E31" s="46" t="n">
        <x:v>0.1</x:v>
      </x:c>
      <x:c r="F31" s="48" t="n">
        <x:v>70</x:v>
      </x:c>
      <x:c r="G31" s="48" t="n">
        <x:f>F31</x:f>
        <x:v>70</x:v>
      </x:c>
      <x:c r="H31" s="48" t="n">
        <x:f>F31*10</x:f>
        <x:v>700</x:v>
      </x:c>
      <x:c r="I31" s="44" t="str">
        <x:v>Green tropical-pear lift</x:v>
      </x:c>
      <x:c r="J31" s="44" t="str">
        <x:v>FUNCTIONAL RECONSTRUCTION HYPOTHESIS</x:v>
      </x:c>
      <x:c r="K31" s="44" t="str">
        <x:v>PREPARE / VERIFY EXACT STOCK</x:v>
      </x:c>
      <x:c r="L31" s="44" t="n">
        <x:f>SUMIF($A$16:$A$99,A31,$F$16:$F$99)</x:f>
        <x:v>1000</x:v>
      </x:c>
      <x:c r="M31" s="44" t="str">
        <x:v>BENCH CANDIDATE</x:v>
      </x:c>
    </x:row>
    <x:row r="32" ht="37" customHeight="1">
      <x:c r="A32" s="44" t="str">
        <x:v>ACC-PER-01</x:v>
      </x:c>
      <x:c r="B32" s="44" t="str">
        <x:v>Green Pear Accord v0.1</x:v>
      </x:c>
      <x:c r="C32" s="44" t="str">
        <x:v>Melonal</x:v>
      </x:c>
      <x:c r="D32" s="44" t="str">
        <x:v>prepare 1% in DPG</x:v>
      </x:c>
      <x:c r="E32" s="46" t="n">
        <x:v>0.01</x:v>
      </x:c>
      <x:c r="F32" s="48" t="n">
        <x:v>60</x:v>
      </x:c>
      <x:c r="G32" s="48" t="n">
        <x:f>F32</x:f>
        <x:v>60</x:v>
      </x:c>
      <x:c r="H32" s="48" t="n">
        <x:f>F32*10</x:f>
        <x:v>600</x:v>
      </x:c>
      <x:c r="I32" s="44" t="str">
        <x:v>Watery melon-pear air</x:v>
      </x:c>
      <x:c r="J32" s="44" t="str">
        <x:v>FUNCTIONAL RECONSTRUCTION HYPOTHESIS</x:v>
      </x:c>
      <x:c r="K32" s="44" t="str">
        <x:v>PREPARE / VERIFY EXACT STOCK</x:v>
      </x:c>
      <x:c r="L32" s="44" t="n">
        <x:f>SUMIF($A$16:$A$99,A32,$F$16:$F$99)</x:f>
        <x:v>1000</x:v>
      </x:c>
      <x:c r="M32" s="44" t="str">
        <x:v>BENCH CANDIDATE</x:v>
      </x:c>
    </x:row>
    <x:row r="33" ht="37" customHeight="1">
      <x:c r="A33" s="44" t="str">
        <x:v>ACC-PER-01</x:v>
      </x:c>
      <x:c r="B33" s="44" t="str">
        <x:v>Green Pear Accord v0.1</x:v>
      </x:c>
      <x:c r="C33" s="44" t="str">
        <x:v>Gamma Undecalactone</x:v>
      </x:c>
      <x:c r="D33" s="44" t="str">
        <x:v>neat/as supplied</x:v>
      </x:c>
      <x:c r="E33" s="46" t="n">
        <x:v>1</x:v>
      </x:c>
      <x:c r="F33" s="48" t="n">
        <x:v>15</x:v>
      </x:c>
      <x:c r="G33" s="48" t="n">
        <x:f>F33</x:f>
        <x:v>15</x:v>
      </x:c>
      <x:c r="H33" s="48" t="n">
        <x:f>F33*10</x:f>
        <x:v>150</x:v>
      </x:c>
      <x:c r="I33" s="44" t="str">
        <x:v>Soft ripe flesh</x:v>
      </x:c>
      <x:c r="J33" s="44" t="str">
        <x:v>FUNCTIONAL RECONSTRUCTION HYPOTHESIS</x:v>
      </x:c>
      <x:c r="K33" s="44" t="str">
        <x:v>PASS</x:v>
      </x:c>
      <x:c r="L33" s="44" t="n">
        <x:f>SUMIF($A$16:$A$99,A33,$F$16:$F$99)</x:f>
        <x:v>1000</x:v>
      </x:c>
      <x:c r="M33" s="44" t="str">
        <x:v>BENCH CANDIDATE</x:v>
      </x:c>
    </x:row>
    <x:row r="34" ht="37" customHeight="1">
      <x:c r="A34" s="44" t="str">
        <x:v>ACC-PER-01</x:v>
      </x:c>
      <x:c r="B34" s="44" t="str">
        <x:v>Green Pear Accord v0.1</x:v>
      </x:c>
      <x:c r="C34" s="44" t="str">
        <x:v>Ethyl 2-Methylbutyrate</x:v>
      </x:c>
      <x:c r="D34" s="44" t="str">
        <x:v>0.1% in DPG</x:v>
      </x:c>
      <x:c r="E34" s="46" t="n">
        <x:v>0.001</x:v>
      </x:c>
      <x:c r="F34" s="48" t="n">
        <x:v>25</x:v>
      </x:c>
      <x:c r="G34" s="48" t="n">
        <x:f>F34</x:f>
        <x:v>25</x:v>
      </x:c>
      <x:c r="H34" s="48" t="n">
        <x:f>F34*10</x:f>
        <x:v>250</x:v>
      </x:c>
      <x:c r="I34" s="44" t="str">
        <x:v>Juicy top trace</x:v>
      </x:c>
      <x:c r="J34" s="44" t="str">
        <x:v>FUNCTIONAL RECONSTRUCTION HYPOTHESIS</x:v>
      </x:c>
      <x:c r="K34" s="44" t="str">
        <x:v>PASS</x:v>
      </x:c>
      <x:c r="L34" s="44" t="n">
        <x:f>SUMIF($A$16:$A$99,A34,$F$16:$F$99)</x:f>
        <x:v>1000</x:v>
      </x:c>
      <x:c r="M34" s="44" t="str">
        <x:v>BENCH CANDIDATE</x:v>
      </x:c>
    </x:row>
    <x:row r="35" ht="37" customHeight="1">
      <x:c r="A35" s="44" t="str">
        <x:v>ACC-PER-01</x:v>
      </x:c>
      <x:c r="B35" s="44" t="str">
        <x:v>Green Pear Accord v0.1</x:v>
      </x:c>
      <x:c r="C35" s="44" t="str">
        <x:v>cis-3-Hexenol</x:v>
      </x:c>
      <x:c r="D35" s="44" t="str">
        <x:v>1% working stock</x:v>
      </x:c>
      <x:c r="E35" s="46" t="n">
        <x:v>0.01</x:v>
      </x:c>
      <x:c r="F35" s="48" t="n">
        <x:v>25</x:v>
      </x:c>
      <x:c r="G35" s="48" t="n">
        <x:f>F35</x:f>
        <x:v>25</x:v>
      </x:c>
      <x:c r="H35" s="48" t="n">
        <x:f>F35*10</x:f>
        <x:v>250</x:v>
      </x:c>
      <x:c r="I35" s="44" t="str">
        <x:v>Green peel</x:v>
      </x:c>
      <x:c r="J35" s="44" t="str">
        <x:v>FUNCTIONAL RECONSTRUCTION HYPOTHESIS</x:v>
      </x:c>
      <x:c r="K35" s="44" t="str">
        <x:v>PASS</x:v>
      </x:c>
      <x:c r="L35" s="44" t="n">
        <x:f>SUMIF($A$16:$A$99,A35,$F$16:$F$99)</x:f>
        <x:v>1000</x:v>
      </x:c>
      <x:c r="M35" s="44" t="str">
        <x:v>BENCH CANDIDATE</x:v>
      </x:c>
    </x:row>
    <x:row r="36" ht="37" customHeight="1">
      <x:c r="A36" s="44" t="str">
        <x:v>ACC-PER-01</x:v>
      </x:c>
      <x:c r="B36" s="44" t="str">
        <x:v>Green Pear Accord v0.1</x:v>
      </x:c>
      <x:c r="C36" s="44" t="str">
        <x:v>Dihydromyrcenol</x:v>
      </x:c>
      <x:c r="D36" s="44" t="str">
        <x:v>neat/as supplied</x:v>
      </x:c>
      <x:c r="E36" s="46" t="n">
        <x:v>1</x:v>
      </x:c>
      <x:c r="F36" s="48" t="n">
        <x:v>30</x:v>
      </x:c>
      <x:c r="G36" s="48" t="n">
        <x:f>F36</x:f>
        <x:v>30</x:v>
      </x:c>
      <x:c r="H36" s="48" t="n">
        <x:f>F36*10</x:f>
        <x:v>300</x:v>
      </x:c>
      <x:c r="I36" s="44" t="str">
        <x:v>Fresh diffusion</x:v>
      </x:c>
      <x:c r="J36" s="44" t="str">
        <x:v>FUNCTIONAL RECONSTRUCTION HYPOTHESIS</x:v>
      </x:c>
      <x:c r="K36" s="44" t="str">
        <x:v>PASS</x:v>
      </x:c>
      <x:c r="L36" s="44" t="n">
        <x:f>SUMIF($A$16:$A$99,A36,$F$16:$F$99)</x:f>
        <x:v>1000</x:v>
      </x:c>
      <x:c r="M36" s="44" t="str">
        <x:v>BENCH CANDIDATE</x:v>
      </x:c>
    </x:row>
    <x:row r="37" ht="37" customHeight="1">
      <x:c r="A37" s="44" t="str">
        <x:v>ACC-PER-01</x:v>
      </x:c>
      <x:c r="B37" s="44" t="str">
        <x:v>Green Pear Accord v0.1</x:v>
      </x:c>
      <x:c r="C37" s="44" t="str">
        <x:v>Bergamot FCF Oil Sicilian</x:v>
      </x:c>
      <x:c r="D37" s="44" t="str">
        <x:v>neat/as supplied</x:v>
      </x:c>
      <x:c r="E37" s="46" t="n">
        <x:v>1</x:v>
      </x:c>
      <x:c r="F37" s="48" t="n">
        <x:v>15</x:v>
      </x:c>
      <x:c r="G37" s="48" t="n">
        <x:f>F37</x:f>
        <x:v>15</x:v>
      </x:c>
      <x:c r="H37" s="48" t="n">
        <x:f>F37*10</x:f>
        <x:v>150</x:v>
      </x:c>
      <x:c r="I37" s="44" t="str">
        <x:v>Citrus lift</x:v>
      </x:c>
      <x:c r="J37" s="44" t="str">
        <x:v>FUNCTIONAL RECONSTRUCTION HYPOTHESIS</x:v>
      </x:c>
      <x:c r="K37" s="44" t="str">
        <x:v>PASS</x:v>
      </x:c>
      <x:c r="L37" s="44" t="n">
        <x:f>SUMIF($A$16:$A$99,A37,$F$16:$F$99)</x:f>
        <x:v>1000</x:v>
      </x:c>
      <x:c r="M37" s="44" t="str">
        <x:v>BENCH CANDIDATE</x:v>
      </x:c>
    </x:row>
    <x:row r="38" ht="37" customHeight="1">
      <x:c r="A38" s="44" t="str">
        <x:v>ACC-HAZ-01</x:v>
      </x:c>
      <x:c r="B38" s="44" t="str">
        <x:v>Hazelnut-Praline Accord v0.1</x:v>
      </x:c>
      <x:c r="C38" s="44" t="str">
        <x:v>2-Acetyl Pyrazine</x:v>
      </x:c>
      <x:c r="D38" s="44" t="str">
        <x:v>prepare 1% in DPG</x:v>
      </x:c>
      <x:c r="E38" s="46" t="n">
        <x:v>0.01</x:v>
      </x:c>
      <x:c r="F38" s="48" t="n">
        <x:v>60</x:v>
      </x:c>
      <x:c r="G38" s="48" t="n">
        <x:f>F38</x:f>
        <x:v>60</x:v>
      </x:c>
      <x:c r="H38" s="48" t="n">
        <x:f>F38*10</x:f>
        <x:v>600</x:v>
      </x:c>
      <x:c r="I38" s="44" t="str">
        <x:v>Roasted nut / bread-crust trace</x:v>
      </x:c>
      <x:c r="J38" s="44" t="str">
        <x:v>FUNCTIONAL RECONSTRUCTION HYPOTHESIS</x:v>
      </x:c>
      <x:c r="K38" s="44" t="str">
        <x:v>PREPARE / VERIFY EXACT STOCK</x:v>
      </x:c>
      <x:c r="L38" s="44" t="n">
        <x:f>SUMIF($A$16:$A$99,A38,$F$16:$F$99)</x:f>
        <x:v>1000</x:v>
      </x:c>
      <x:c r="M38" s="44" t="str">
        <x:v>BENCH CANDIDATE</x:v>
      </x:c>
    </x:row>
    <x:row r="39" ht="37" customHeight="1">
      <x:c r="A39" s="44" t="str">
        <x:v>ACC-HAZ-01</x:v>
      </x:c>
      <x:c r="B39" s="44" t="str">
        <x:v>Hazelnut-Praline Accord v0.1</x:v>
      </x:c>
      <x:c r="C39" s="44" t="str">
        <x:v>Cocoa Absolute</x:v>
      </x:c>
      <x:c r="D39" s="44" t="str">
        <x:v>prepare 10% in DPG</x:v>
      </x:c>
      <x:c r="E39" s="46" t="n">
        <x:v>0.1</x:v>
      </x:c>
      <x:c r="F39" s="48" t="n">
        <x:v>140</x:v>
      </x:c>
      <x:c r="G39" s="48" t="n">
        <x:f>F39</x:f>
        <x:v>140</x:v>
      </x:c>
      <x:c r="H39" s="48" t="n">
        <x:f>F39*10</x:f>
        <x:v>1400</x:v>
      </x:c>
      <x:c r="I39" s="44" t="str">
        <x:v>Dark cocoa-natural nut body</x:v>
      </x:c>
      <x:c r="J39" s="44" t="str">
        <x:v>FUNCTIONAL RECONSTRUCTION HYPOTHESIS</x:v>
      </x:c>
      <x:c r="K39" s="44" t="str">
        <x:v>PREPARE / VERIFY EXACT STOCK</x:v>
      </x:c>
      <x:c r="L39" s="44" t="n">
        <x:f>SUMIF($A$16:$A$99,A39,$F$16:$F$99)</x:f>
        <x:v>1000</x:v>
      </x:c>
      <x:c r="M39" s="44" t="str">
        <x:v>BENCH CANDIDATE</x:v>
      </x:c>
    </x:row>
    <x:row r="40" ht="37" customHeight="1">
      <x:c r="A40" s="44" t="str">
        <x:v>ACC-HAZ-01</x:v>
      </x:c>
      <x:c r="B40" s="44" t="str">
        <x:v>Hazelnut-Praline Accord v0.1</x:v>
      </x:c>
      <x:c r="C40" s="44" t="str">
        <x:v>Cocoa CO2 Extract</x:v>
      </x:c>
      <x:c r="D40" s="44" t="str">
        <x:v>7.7% stock</x:v>
      </x:c>
      <x:c r="E40" s="46" t="n">
        <x:v>0.077</x:v>
      </x:c>
      <x:c r="F40" s="48" t="n">
        <x:v>60</x:v>
      </x:c>
      <x:c r="G40" s="48" t="n">
        <x:f>F40</x:f>
        <x:v>60</x:v>
      </x:c>
      <x:c r="H40" s="48" t="n">
        <x:f>F40*10</x:f>
        <x:v>600</x:v>
      </x:c>
      <x:c r="I40" s="44" t="str">
        <x:v>Dry cocoa depth</x:v>
      </x:c>
      <x:c r="J40" s="44" t="str">
        <x:v>FUNCTIONAL RECONSTRUCTION HYPOTHESIS</x:v>
      </x:c>
      <x:c r="K40" s="44" t="str">
        <x:v>PASS</x:v>
      </x:c>
      <x:c r="L40" s="44" t="n">
        <x:f>SUMIF($A$16:$A$99,A40,$F$16:$F$99)</x:f>
        <x:v>1000</x:v>
      </x:c>
      <x:c r="M40" s="44" t="str">
        <x:v>BENCH CANDIDATE</x:v>
      </x:c>
    </x:row>
    <x:row r="41" ht="37" customHeight="1">
      <x:c r="A41" s="44" t="str">
        <x:v>ACC-HAZ-01</x:v>
      </x:c>
      <x:c r="B41" s="44" t="str">
        <x:v>Hazelnut-Praline Accord v0.1</x:v>
      </x:c>
      <x:c r="C41" s="44" t="str">
        <x:v>Isobutavan</x:v>
      </x:c>
      <x:c r="D41" s="44" t="str">
        <x:v>as supplied</x:v>
      </x:c>
      <x:c r="E41" s="46" t="n">
        <x:v>1</x:v>
      </x:c>
      <x:c r="F41" s="48" t="n">
        <x:v>180</x:v>
      </x:c>
      <x:c r="G41" s="48" t="n">
        <x:f>F41</x:f>
        <x:v>180</x:v>
      </x:c>
      <x:c r="H41" s="48" t="n">
        <x:f>F41*10</x:f>
        <x:v>1800</x:v>
      </x:c>
      <x:c r="I41" s="44" t="str">
        <x:v>Creamy gourmand body</x:v>
      </x:c>
      <x:c r="J41" s="44" t="str">
        <x:v>FUNCTIONAL RECONSTRUCTION HYPOTHESIS</x:v>
      </x:c>
      <x:c r="K41" s="44" t="str">
        <x:v>PASS</x:v>
      </x:c>
      <x:c r="L41" s="44" t="n">
        <x:f>SUMIF($A$16:$A$99,A41,$F$16:$F$99)</x:f>
        <x:v>1000</x:v>
      </x:c>
      <x:c r="M41" s="44" t="str">
        <x:v>BENCH CANDIDATE</x:v>
      </x:c>
    </x:row>
    <x:row r="42" ht="37" customHeight="1">
      <x:c r="A42" s="44" t="str">
        <x:v>ACC-HAZ-01</x:v>
      </x:c>
      <x:c r="B42" s="44" t="str">
        <x:v>Hazelnut-Praline Accord v0.1</x:v>
      </x:c>
      <x:c r="C42" s="44" t="str">
        <x:v>Vanillin</x:v>
      </x:c>
      <x:c r="D42" s="44" t="str">
        <x:v>10% working stock</x:v>
      </x:c>
      <x:c r="E42" s="46" t="n">
        <x:v>0.1</x:v>
      </x:c>
      <x:c r="F42" s="48" t="n">
        <x:v>160</x:v>
      </x:c>
      <x:c r="G42" s="48" t="n">
        <x:f>F42</x:f>
        <x:v>160</x:v>
      </x:c>
      <x:c r="H42" s="48" t="n">
        <x:f>F42*10</x:f>
        <x:v>1600</x:v>
      </x:c>
      <x:c r="I42" s="44" t="str">
        <x:v>Sweet nut-praline body</x:v>
      </x:c>
      <x:c r="J42" s="44" t="str">
        <x:v>FUNCTIONAL RECONSTRUCTION HYPOTHESIS</x:v>
      </x:c>
      <x:c r="K42" s="44" t="str">
        <x:v>PASS</x:v>
      </x:c>
      <x:c r="L42" s="44" t="n">
        <x:f>SUMIF($A$16:$A$99,A42,$F$16:$F$99)</x:f>
        <x:v>1000</x:v>
      </x:c>
      <x:c r="M42" s="44" t="str">
        <x:v>BENCH CANDIDATE</x:v>
      </x:c>
    </x:row>
    <x:row r="43" ht="37" customHeight="1">
      <x:c r="A43" s="44" t="str">
        <x:v>ACC-HAZ-01</x:v>
      </x:c>
      <x:c r="B43" s="44" t="str">
        <x:v>Hazelnut-Praline Accord v0.1</x:v>
      </x:c>
      <x:c r="C43" s="44" t="str">
        <x:v>Tonka Bean Absolute</x:v>
      </x:c>
      <x:c r="D43" s="44" t="str">
        <x:v>10% working stock</x:v>
      </x:c>
      <x:c r="E43" s="46" t="n">
        <x:v>0.1</x:v>
      </x:c>
      <x:c r="F43" s="48" t="n">
        <x:v>100</x:v>
      </x:c>
      <x:c r="G43" s="48" t="n">
        <x:f>F43</x:f>
        <x:v>100</x:v>
      </x:c>
      <x:c r="H43" s="48" t="n">
        <x:f>F43*10</x:f>
        <x:v>1000</x:v>
      </x:c>
      <x:c r="I43" s="44" t="str">
        <x:v>Coumarinic nut warmth</x:v>
      </x:c>
      <x:c r="J43" s="44" t="str">
        <x:v>FUNCTIONAL RECONSTRUCTION HYPOTHESIS</x:v>
      </x:c>
      <x:c r="K43" s="44" t="str">
        <x:v>PASS</x:v>
      </x:c>
      <x:c r="L43" s="44" t="n">
        <x:f>SUMIF($A$16:$A$99,A43,$F$16:$F$99)</x:f>
        <x:v>1000</x:v>
      </x:c>
      <x:c r="M43" s="44" t="str">
        <x:v>BENCH CANDIDATE</x:v>
      </x:c>
    </x:row>
    <x:row r="44" ht="37" customHeight="1">
      <x:c r="A44" s="44" t="str">
        <x:v>ACC-HAZ-01</x:v>
      </x:c>
      <x:c r="B44" s="44" t="str">
        <x:v>Hazelnut-Praline Accord v0.1</x:v>
      </x:c>
      <x:c r="C44" s="44" t="str">
        <x:v>Coumarin</x:v>
      </x:c>
      <x:c r="D44" s="44" t="str">
        <x:v>20% in DPG</x:v>
      </x:c>
      <x:c r="E44" s="46" t="n">
        <x:v>0.2</x:v>
      </x:c>
      <x:c r="F44" s="48" t="n">
        <x:v>90</x:v>
      </x:c>
      <x:c r="G44" s="48" t="n">
        <x:f>F44</x:f>
        <x:v>90</x:v>
      </x:c>
      <x:c r="H44" s="48" t="n">
        <x:f>F44*10</x:f>
        <x:v>900</x:v>
      </x:c>
      <x:c r="I44" s="44" t="str">
        <x:v>Dry sweet hay/nut contour</x:v>
      </x:c>
      <x:c r="J44" s="44" t="str">
        <x:v>FUNCTIONAL RECONSTRUCTION HYPOTHESIS</x:v>
      </x:c>
      <x:c r="K44" s="44" t="str">
        <x:v>PASS</x:v>
      </x:c>
      <x:c r="L44" s="44" t="n">
        <x:f>SUMIF($A$16:$A$99,A44,$F$16:$F$99)</x:f>
        <x:v>1000</x:v>
      </x:c>
      <x:c r="M44" s="44" t="str">
        <x:v>BENCH CANDIDATE</x:v>
      </x:c>
    </x:row>
    <x:row r="45" ht="37" customHeight="1">
      <x:c r="A45" s="44" t="str">
        <x:v>ACC-HAZ-01</x:v>
      </x:c>
      <x:c r="B45" s="44" t="str">
        <x:v>Hazelnut-Praline Accord v0.1</x:v>
      </x:c>
      <x:c r="C45" s="44" t="str">
        <x:v>Benzaldehyde</x:v>
      </x:c>
      <x:c r="D45" s="44" t="str">
        <x:v>prepare 10% in DPG</x:v>
      </x:c>
      <x:c r="E45" s="46" t="n">
        <x:v>0.1</x:v>
      </x:c>
      <x:c r="F45" s="48" t="n">
        <x:v>50</x:v>
      </x:c>
      <x:c r="G45" s="48" t="n">
        <x:f>F45</x:f>
        <x:v>50</x:v>
      </x:c>
      <x:c r="H45" s="48" t="n">
        <x:f>F45*10</x:f>
        <x:v>500</x:v>
      </x:c>
      <x:c r="I45" s="44" t="str">
        <x:v>Almond-cherry nut edge</x:v>
      </x:c>
      <x:c r="J45" s="44" t="str">
        <x:v>FUNCTIONAL RECONSTRUCTION HYPOTHESIS</x:v>
      </x:c>
      <x:c r="K45" s="44" t="str">
        <x:v>PREPARE / VERIFY EXACT STOCK</x:v>
      </x:c>
      <x:c r="L45" s="44" t="n">
        <x:f>SUMIF($A$16:$A$99,A45,$F$16:$F$99)</x:f>
        <x:v>1000</x:v>
      </x:c>
      <x:c r="M45" s="44" t="str">
        <x:v>BENCH CANDIDATE</x:v>
      </x:c>
    </x:row>
    <x:row r="46" ht="37" customHeight="1">
      <x:c r="A46" s="44" t="str">
        <x:v>ACC-HAZ-01</x:v>
      </x:c>
      <x:c r="B46" s="44" t="str">
        <x:v>Hazelnut-Praline Accord v0.1</x:v>
      </x:c>
      <x:c r="C46" s="44" t="str">
        <x:v>Heliotropal</x:v>
      </x:c>
      <x:c r="D46" s="44" t="str">
        <x:v>prepare 10% in DPG</x:v>
      </x:c>
      <x:c r="E46" s="46" t="n">
        <x:v>0.1</x:v>
      </x:c>
      <x:c r="F46" s="48" t="n">
        <x:v>50</x:v>
      </x:c>
      <x:c r="G46" s="48" t="n">
        <x:f>F46</x:f>
        <x:v>50</x:v>
      </x:c>
      <x:c r="H46" s="48" t="n">
        <x:f>F46*10</x:f>
        <x:v>500</x:v>
      </x:c>
      <x:c r="I46" s="44" t="str">
        <x:v>Powdery almond bridge</x:v>
      </x:c>
      <x:c r="J46" s="44" t="str">
        <x:v>FUNCTIONAL RECONSTRUCTION HYPOTHESIS</x:v>
      </x:c>
      <x:c r="K46" s="44" t="str">
        <x:v>PREPARE / VERIFY EXACT STOCK</x:v>
      </x:c>
      <x:c r="L46" s="44" t="n">
        <x:f>SUMIF($A$16:$A$99,A46,$F$16:$F$99)</x:f>
        <x:v>1000</x:v>
      </x:c>
      <x:c r="M46" s="44" t="str">
        <x:v>BENCH CANDIDATE</x:v>
      </x:c>
    </x:row>
    <x:row r="47" ht="37" customHeight="1">
      <x:c r="A47" s="44" t="str">
        <x:v>ACC-HAZ-01</x:v>
      </x:c>
      <x:c r="B47" s="44" t="str">
        <x:v>Hazelnut-Praline Accord v0.1</x:v>
      </x:c>
      <x:c r="C47" s="44" t="str">
        <x:v>Siam Benzoin</x:v>
      </x:c>
      <x:c r="D47" s="44" t="str">
        <x:v>50% working stock</x:v>
      </x:c>
      <x:c r="E47" s="46" t="n">
        <x:v>0.5</x:v>
      </x:c>
      <x:c r="F47" s="48" t="n">
        <x:v>80</x:v>
      </x:c>
      <x:c r="G47" s="48" t="n">
        <x:f>F47</x:f>
        <x:v>80</x:v>
      </x:c>
      <x:c r="H47" s="48" t="n">
        <x:f>F47*10</x:f>
        <x:v>800</x:v>
      </x:c>
      <x:c r="I47" s="44" t="str">
        <x:v>Balsamic praline fixation</x:v>
      </x:c>
      <x:c r="J47" s="44" t="str">
        <x:v>FUNCTIONAL RECONSTRUCTION HYPOTHESIS</x:v>
      </x:c>
      <x:c r="K47" s="44" t="str">
        <x:v>PASS</x:v>
      </x:c>
      <x:c r="L47" s="44" t="n">
        <x:f>SUMIF($A$16:$A$99,A47,$F$16:$F$99)</x:f>
        <x:v>1000</x:v>
      </x:c>
      <x:c r="M47" s="44" t="str">
        <x:v>BENCH CANDIDATE</x:v>
      </x:c>
    </x:row>
    <x:row r="48" ht="37" customHeight="1">
      <x:c r="A48" s="44" t="str">
        <x:v>ACC-HAZ-01</x:v>
      </x:c>
      <x:c r="B48" s="44" t="str">
        <x:v>Hazelnut-Praline Accord v0.1</x:v>
      </x:c>
      <x:c r="C48" s="44" t="str">
        <x:v>Coffee Absolute Grasse</x:v>
      </x:c>
      <x:c r="D48" s="44" t="str">
        <x:v>10% in DPG</x:v>
      </x:c>
      <x:c r="E48" s="46" t="n">
        <x:v>0.1</x:v>
      </x:c>
      <x:c r="F48" s="48" t="n">
        <x:v>20</x:v>
      </x:c>
      <x:c r="G48" s="48" t="n">
        <x:f>F48</x:f>
        <x:v>20</x:v>
      </x:c>
      <x:c r="H48" s="48" t="n">
        <x:f>F48*10</x:f>
        <x:v>200</x:v>
      </x:c>
      <x:c r="I48" s="44" t="str">
        <x:v>Roasted accent</x:v>
      </x:c>
      <x:c r="J48" s="44" t="str">
        <x:v>FUNCTIONAL RECONSTRUCTION HYPOTHESIS</x:v>
      </x:c>
      <x:c r="K48" s="44" t="str">
        <x:v>PASS</x:v>
      </x:c>
      <x:c r="L48" s="44" t="n">
        <x:f>SUMIF($A$16:$A$99,A48,$F$16:$F$99)</x:f>
        <x:v>1000</x:v>
      </x:c>
      <x:c r="M48" s="44" t="str">
        <x:v>BENCH CANDIDATE</x:v>
      </x:c>
    </x:row>
    <x:row r="49" ht="37" customHeight="1">
      <x:c r="A49" s="44" t="str">
        <x:v>ACC-HAZ-01</x:v>
      </x:c>
      <x:c r="B49" s="44" t="str">
        <x:v>Hazelnut-Praline Accord v0.1</x:v>
      </x:c>
      <x:c r="C49" s="44" t="str">
        <x:v>Tobacco Absolute</x:v>
      </x:c>
      <x:c r="D49" s="44" t="str">
        <x:v>10% in DPG</x:v>
      </x:c>
      <x:c r="E49" s="46" t="n">
        <x:v>0.1</x:v>
      </x:c>
      <x:c r="F49" s="48" t="n">
        <x:v>10</x:v>
      </x:c>
      <x:c r="G49" s="48" t="n">
        <x:f>F49</x:f>
        <x:v>10</x:v>
      </x:c>
      <x:c r="H49" s="48" t="n">
        <x:f>F49*10</x:f>
        <x:v>100</x:v>
      </x:c>
      <x:c r="I49" s="44" t="str">
        <x:v>Dry roasted shadow</x:v>
      </x:c>
      <x:c r="J49" s="44" t="str">
        <x:v>FUNCTIONAL RECONSTRUCTION HYPOTHESIS</x:v>
      </x:c>
      <x:c r="K49" s="44" t="str">
        <x:v>PASS</x:v>
      </x:c>
      <x:c r="L49" s="44" t="n">
        <x:f>SUMIF($A$16:$A$99,A49,$F$16:$F$99)</x:f>
        <x:v>1000</x:v>
      </x:c>
      <x:c r="M49" s="44" t="str">
        <x:v>BENCH CANDIDATE</x:v>
      </x:c>
    </x:row>
    <x:row r="50" ht="37" customHeight="1">
      <x:c r="A50" s="44" t="str">
        <x:v>ACC-AMB-01</x:v>
      </x:c>
      <x:c r="B50" s="44" t="str">
        <x:v>Ambergris Molecular Base v0.1</x:v>
      </x:c>
      <x:c r="C50" s="44" t="str">
        <x:v>Ambrofix</x:v>
      </x:c>
      <x:c r="D50" s="44" t="str">
        <x:v>40% working stock</x:v>
      </x:c>
      <x:c r="E50" s="46" t="n">
        <x:v>0.4</x:v>
      </x:c>
      <x:c r="F50" s="48" t="n">
        <x:v>400</x:v>
      </x:c>
      <x:c r="G50" s="48" t="n">
        <x:f>F50</x:f>
        <x:v>400</x:v>
      </x:c>
      <x:c r="H50" s="48" t="n">
        <x:f>F50*10</x:f>
        <x:v>4000</x:v>
      </x:c>
      <x:c r="I50" s="44" t="str">
        <x:v>Primary ambergris-style molecular body</x:v>
      </x:c>
      <x:c r="J50" s="44" t="str">
        <x:v>FUNCTIONAL RECONSTRUCTION HYPOTHESIS</x:v>
      </x:c>
      <x:c r="K50" s="44" t="str">
        <x:v>PASS</x:v>
      </x:c>
      <x:c r="L50" s="44" t="n">
        <x:f>SUMIF($A$16:$A$99,A50,$F$16:$F$99)</x:f>
        <x:v>1000</x:v>
      </x:c>
      <x:c r="M50" s="44" t="str">
        <x:v>BENCH CANDIDATE</x:v>
      </x:c>
    </x:row>
    <x:row r="51" ht="37" customHeight="1">
      <x:c r="A51" s="44" t="str">
        <x:v>ACC-AMB-01</x:v>
      </x:c>
      <x:c r="B51" s="44" t="str">
        <x:v>Ambergris Molecular Base v0.1</x:v>
      </x:c>
      <x:c r="C51" s="44" t="str">
        <x:v>Ambrox Super</x:v>
      </x:c>
      <x:c r="D51" s="44" t="str">
        <x:v>33% in DPG</x:v>
      </x:c>
      <x:c r="E51" s="46" t="n">
        <x:v>0.33</x:v>
      </x:c>
      <x:c r="F51" s="48" t="n">
        <x:v>280</x:v>
      </x:c>
      <x:c r="G51" s="48" t="n">
        <x:f>F51</x:f>
        <x:v>280</x:v>
      </x:c>
      <x:c r="H51" s="48" t="n">
        <x:f>F51*10</x:f>
        <x:v>2800</x:v>
      </x:c>
      <x:c r="I51" s="44" t="str">
        <x:v>Mineral ambery persistence</x:v>
      </x:c>
      <x:c r="J51" s="44" t="str">
        <x:v>FUNCTIONAL RECONSTRUCTION HYPOTHESIS</x:v>
      </x:c>
      <x:c r="K51" s="44" t="str">
        <x:v>PASS</x:v>
      </x:c>
      <x:c r="L51" s="44" t="n">
        <x:f>SUMIF($A$16:$A$99,A51,$F$16:$F$99)</x:f>
        <x:v>1000</x:v>
      </x:c>
      <x:c r="M51" s="44" t="str">
        <x:v>BENCH CANDIDATE</x:v>
      </x:c>
    </x:row>
    <x:row r="52" ht="37" customHeight="1">
      <x:c r="A52" s="44" t="str">
        <x:v>ACC-AMB-01</x:v>
      </x:c>
      <x:c r="B52" s="44" t="str">
        <x:v>Ambergris Molecular Base v0.1</x:v>
      </x:c>
      <x:c r="C52" s="44" t="str">
        <x:v>Habanolide</x:v>
      </x:c>
      <x:c r="D52" s="44" t="str">
        <x:v>neat/as supplied</x:v>
      </x:c>
      <x:c r="E52" s="46" t="n">
        <x:v>1</x:v>
      </x:c>
      <x:c r="F52" s="48" t="n">
        <x:v>80</x:v>
      </x:c>
      <x:c r="G52" s="48" t="n">
        <x:f>F52</x:f>
        <x:v>80</x:v>
      </x:c>
      <x:c r="H52" s="48" t="n">
        <x:f>F52*10</x:f>
        <x:v>800</x:v>
      </x:c>
      <x:c r="I52" s="44" t="str">
        <x:v>Clean mineral musk lift</x:v>
      </x:c>
      <x:c r="J52" s="44" t="str">
        <x:v>FUNCTIONAL RECONSTRUCTION HYPOTHESIS</x:v>
      </x:c>
      <x:c r="K52" s="44" t="str">
        <x:v>PASS</x:v>
      </x:c>
      <x:c r="L52" s="44" t="n">
        <x:f>SUMIF($A$16:$A$99,A52,$F$16:$F$99)</x:f>
        <x:v>1000</x:v>
      </x:c>
      <x:c r="M52" s="44" t="str">
        <x:v>BENCH CANDIDATE</x:v>
      </x:c>
    </x:row>
    <x:row r="53" ht="37" customHeight="1">
      <x:c r="A53" s="44" t="str">
        <x:v>ACC-AMB-01</x:v>
      </x:c>
      <x:c r="B53" s="44" t="str">
        <x:v>Ambergris Molecular Base v0.1</x:v>
      </x:c>
      <x:c r="C53" s="44" t="str">
        <x:v>Ambrettolide</x:v>
      </x:c>
      <x:c r="D53" s="44" t="str">
        <x:v>10% in DPG</x:v>
      </x:c>
      <x:c r="E53" s="46" t="n">
        <x:v>0.1</x:v>
      </x:c>
      <x:c r="F53" s="48" t="n">
        <x:v>60</x:v>
      </x:c>
      <x:c r="G53" s="48" t="n">
        <x:f>F53</x:f>
        <x:v>60</x:v>
      </x:c>
      <x:c r="H53" s="48" t="n">
        <x:f>F53*10</x:f>
        <x:v>600</x:v>
      </x:c>
      <x:c r="I53" s="44" t="str">
        <x:v>Soft animalic-musky roundness</x:v>
      </x:c>
      <x:c r="J53" s="44" t="str">
        <x:v>FUNCTIONAL RECONSTRUCTION HYPOTHESIS</x:v>
      </x:c>
      <x:c r="K53" s="44" t="str">
        <x:v>PASS</x:v>
      </x:c>
      <x:c r="L53" s="44" t="n">
        <x:f>SUMIF($A$16:$A$99,A53,$F$16:$F$99)</x:f>
        <x:v>1000</x:v>
      </x:c>
      <x:c r="M53" s="44" t="str">
        <x:v>BENCH CANDIDATE</x:v>
      </x:c>
    </x:row>
    <x:row r="54" ht="37" customHeight="1">
      <x:c r="A54" s="44" t="str">
        <x:v>ACC-AMB-01</x:v>
      </x:c>
      <x:c r="B54" s="44" t="str">
        <x:v>Ambergris Molecular Base v0.1</x:v>
      </x:c>
      <x:c r="C54" s="44" t="str">
        <x:v>Cashmeran</x:v>
      </x:c>
      <x:c r="D54" s="44" t="str">
        <x:v>neat/as supplied</x:v>
      </x:c>
      <x:c r="E54" s="46" t="n">
        <x:v>1</x:v>
      </x:c>
      <x:c r="F54" s="48" t="n">
        <x:v>50</x:v>
      </x:c>
      <x:c r="G54" s="48" t="n">
        <x:f>F54</x:f>
        <x:v>50</x:v>
      </x:c>
      <x:c r="H54" s="48" t="n">
        <x:f>F54*10</x:f>
        <x:v>500</x:v>
      </x:c>
      <x:c r="I54" s="44" t="str">
        <x:v>Warm woody-mineral texture</x:v>
      </x:c>
      <x:c r="J54" s="44" t="str">
        <x:v>FUNCTIONAL RECONSTRUCTION HYPOTHESIS</x:v>
      </x:c>
      <x:c r="K54" s="44" t="str">
        <x:v>PASS</x:v>
      </x:c>
      <x:c r="L54" s="44" t="n">
        <x:f>SUMIF($A$16:$A$99,A54,$F$16:$F$99)</x:f>
        <x:v>1000</x:v>
      </x:c>
      <x:c r="M54" s="44" t="str">
        <x:v>BENCH CANDIDATE</x:v>
      </x:c>
    </x:row>
    <x:row r="55" ht="37" customHeight="1">
      <x:c r="A55" s="44" t="str">
        <x:v>ACC-AMB-01</x:v>
      </x:c>
      <x:c r="B55" s="44" t="str">
        <x:v>Ambergris Molecular Base v0.1</x:v>
      </x:c>
      <x:c r="C55" s="44" t="str">
        <x:v>Cedarwood Virginia</x:v>
      </x:c>
      <x:c r="D55" s="44" t="str">
        <x:v>neat/as supplied</x:v>
      </x:c>
      <x:c r="E55" s="46" t="n">
        <x:v>1</x:v>
      </x:c>
      <x:c r="F55" s="48" t="n">
        <x:v>30</x:v>
      </x:c>
      <x:c r="G55" s="48" t="n">
        <x:f>F55</x:f>
        <x:v>30</x:v>
      </x:c>
      <x:c r="H55" s="48" t="n">
        <x:f>F55*10</x:f>
        <x:v>300</x:v>
      </x:c>
      <x:c r="I55" s="44" t="str">
        <x:v>Dry woody support</x:v>
      </x:c>
      <x:c r="J55" s="44" t="str">
        <x:v>FUNCTIONAL RECONSTRUCTION HYPOTHESIS</x:v>
      </x:c>
      <x:c r="K55" s="44" t="str">
        <x:v>PASS</x:v>
      </x:c>
      <x:c r="L55" s="44" t="n">
        <x:f>SUMIF($A$16:$A$99,A55,$F$16:$F$99)</x:f>
        <x:v>1000</x:v>
      </x:c>
      <x:c r="M55" s="44" t="str">
        <x:v>BENCH CANDIDATE</x:v>
      </x:c>
    </x:row>
    <x:row r="56" ht="37" customHeight="1">
      <x:c r="A56" s="44" t="str">
        <x:v>ACC-AMB-01</x:v>
      </x:c>
      <x:c r="B56" s="44" t="str">
        <x:v>Ambergris Molecular Base v0.1</x:v>
      </x:c>
      <x:c r="C56" s="44" t="str">
        <x:v>Clary Sage EO</x:v>
      </x:c>
      <x:c r="D56" s="44" t="str">
        <x:v>neat/as supplied</x:v>
      </x:c>
      <x:c r="E56" s="46" t="n">
        <x:v>1</x:v>
      </x:c>
      <x:c r="F56" s="48" t="n">
        <x:v>20</x:v>
      </x:c>
      <x:c r="G56" s="48" t="n">
        <x:f>F56</x:f>
        <x:v>20</x:v>
      </x:c>
      <x:c r="H56" s="48" t="n">
        <x:f>F56*10</x:f>
        <x:v>200</x:v>
      </x:c>
      <x:c r="I56" s="44" t="str">
        <x:v>Tobacco/ambergris aromatic nuance</x:v>
      </x:c>
      <x:c r="J56" s="44" t="str">
        <x:v>FUNCTIONAL RECONSTRUCTION HYPOTHESIS</x:v>
      </x:c>
      <x:c r="K56" s="44" t="str">
        <x:v>PASS</x:v>
      </x:c>
      <x:c r="L56" s="44" t="n">
        <x:f>SUMIF($A$16:$A$99,A56,$F$16:$F$99)</x:f>
        <x:v>1000</x:v>
      </x:c>
      <x:c r="M56" s="44" t="str">
        <x:v>BENCH CANDIDATE</x:v>
      </x:c>
    </x:row>
    <x:row r="57" ht="37" customHeight="1">
      <x:c r="A57" s="44" t="str">
        <x:v>ACC-AMB-01</x:v>
      </x:c>
      <x:c r="B57" s="44" t="str">
        <x:v>Ambergris Molecular Base v0.1</x:v>
      </x:c>
      <x:c r="C57" s="44" t="str">
        <x:v>Olibanum</x:v>
      </x:c>
      <x:c r="D57" s="44" t="str">
        <x:v>50% in DPG</x:v>
      </x:c>
      <x:c r="E57" s="46" t="n">
        <x:v>0.5</x:v>
      </x:c>
      <x:c r="F57" s="48" t="n">
        <x:v>20</x:v>
      </x:c>
      <x:c r="G57" s="48" t="n">
        <x:f>F57</x:f>
        <x:v>20</x:v>
      </x:c>
      <x:c r="H57" s="48" t="n">
        <x:f>F57*10</x:f>
        <x:v>200</x:v>
      </x:c>
      <x:c r="I57" s="44" t="str">
        <x:v>Mineral resin lift</x:v>
      </x:c>
      <x:c r="J57" s="44" t="str">
        <x:v>FUNCTIONAL RECONSTRUCTION HYPOTHESIS</x:v>
      </x:c>
      <x:c r="K57" s="44" t="str">
        <x:v>PASS</x:v>
      </x:c>
      <x:c r="L57" s="44" t="n">
        <x:f>SUMIF($A$16:$A$99,A57,$F$16:$F$99)</x:f>
        <x:v>1000</x:v>
      </x:c>
      <x:c r="M57" s="44" t="str">
        <x:v>BENCH CANDIDATE</x:v>
      </x:c>
    </x:row>
    <x:row r="58" ht="37" customHeight="1">
      <x:c r="A58" s="44" t="str">
        <x:v>ACC-AMB-01</x:v>
      </x:c>
      <x:c r="B58" s="44" t="str">
        <x:v>Ambergris Molecular Base v0.1</x:v>
      </x:c>
      <x:c r="C58" s="44" t="str">
        <x:v>Helional</x:v>
      </x:c>
      <x:c r="D58" s="44" t="str">
        <x:v>10% working stock</x:v>
      </x:c>
      <x:c r="E58" s="46" t="n">
        <x:v>0.1</x:v>
      </x:c>
      <x:c r="F58" s="48" t="n">
        <x:v>20</x:v>
      </x:c>
      <x:c r="G58" s="48" t="n">
        <x:f>F58</x:f>
        <x:v>20</x:v>
      </x:c>
      <x:c r="H58" s="48" t="n">
        <x:f>F58*10</x:f>
        <x:v>200</x:v>
      </x:c>
      <x:c r="I58" s="44" t="str">
        <x:v>Watery mineral air</x:v>
      </x:c>
      <x:c r="J58" s="44" t="str">
        <x:v>FUNCTIONAL RECONSTRUCTION HYPOTHESIS</x:v>
      </x:c>
      <x:c r="K58" s="44" t="str">
        <x:v>PASS</x:v>
      </x:c>
      <x:c r="L58" s="44" t="n">
        <x:f>SUMIF($A$16:$A$99,A58,$F$16:$F$99)</x:f>
        <x:v>1000</x:v>
      </x:c>
      <x:c r="M58" s="44" t="str">
        <x:v>BENCH CANDIDATE</x:v>
      </x:c>
    </x:row>
    <x:row r="59" ht="37" customHeight="1">
      <x:c r="A59" s="44" t="str">
        <x:v>ACC-AMB-01</x:v>
      </x:c>
      <x:c r="B59" s="44" t="str">
        <x:v>Ambergris Molecular Base v0.1</x:v>
      </x:c>
      <x:c r="C59" s="44" t="str">
        <x:v>Adoxal</x:v>
      </x:c>
      <x:c r="D59" s="44" t="str">
        <x:v>10% in DPG</x:v>
      </x:c>
      <x:c r="E59" s="46" t="n">
        <x:v>0.1</x:v>
      </x:c>
      <x:c r="F59" s="48" t="n">
        <x:v>10</x:v>
      </x:c>
      <x:c r="G59" s="48" t="n">
        <x:f>F59</x:f>
        <x:v>10</x:v>
      </x:c>
      <x:c r="H59" s="48" t="n">
        <x:f>F59*10</x:f>
        <x:v>100</x:v>
      </x:c>
      <x:c r="I59" s="44" t="str">
        <x:v>Fresh waxy marine-aldehydic trace</x:v>
      </x:c>
      <x:c r="J59" s="44" t="str">
        <x:v>FUNCTIONAL RECONSTRUCTION HYPOTHESIS</x:v>
      </x:c>
      <x:c r="K59" s="44" t="str">
        <x:v>PASS</x:v>
      </x:c>
      <x:c r="L59" s="44" t="n">
        <x:f>SUMIF($A$16:$A$99,A59,$F$16:$F$99)</x:f>
        <x:v>1000</x:v>
      </x:c>
      <x:c r="M59" s="44" t="str">
        <x:v>BENCH CANDIDATE</x:v>
      </x:c>
    </x:row>
    <x:row r="60" ht="37" customHeight="1">
      <x:c r="A60" s="44" t="str">
        <x:v>ACC-AMB-01</x:v>
      </x:c>
      <x:c r="B60" s="44" t="str">
        <x:v>Ambergris Molecular Base v0.1</x:v>
      </x:c>
      <x:c r="C60" s="44" t="str">
        <x:v>Black Pepper EO</x:v>
      </x:c>
      <x:c r="D60" s="44" t="str">
        <x:v>neat/as supplied</x:v>
      </x:c>
      <x:c r="E60" s="46" t="n">
        <x:v>1</x:v>
      </x:c>
      <x:c r="F60" s="48" t="n">
        <x:v>5</x:v>
      </x:c>
      <x:c r="G60" s="48" t="n">
        <x:f>F60</x:f>
        <x:v>5</x:v>
      </x:c>
      <x:c r="H60" s="48" t="n">
        <x:f>F60*10</x:f>
        <x:v>50</x:v>
      </x:c>
      <x:c r="I60" s="44" t="str">
        <x:v>Dry sparkling trace</x:v>
      </x:c>
      <x:c r="J60" s="44" t="str">
        <x:v>FUNCTIONAL RECONSTRUCTION HYPOTHESIS</x:v>
      </x:c>
      <x:c r="K60" s="44" t="str">
        <x:v>PASS</x:v>
      </x:c>
      <x:c r="L60" s="44" t="n">
        <x:f>SUMIF($A$16:$A$99,A60,$F$16:$F$99)</x:f>
        <x:v>1000</x:v>
      </x:c>
      <x:c r="M60" s="44" t="str">
        <x:v>BENCH CANDIDATE</x:v>
      </x:c>
    </x:row>
    <x:row r="61" ht="37" customHeight="1">
      <x:c r="A61" s="44" t="str">
        <x:v>ACC-AMB-01</x:v>
      </x:c>
      <x:c r="B61" s="44" t="str">
        <x:v>Ambergris Molecular Base v0.1</x:v>
      </x:c>
      <x:c r="C61" s="44" t="str">
        <x:v>Labdanum</x:v>
      </x:c>
      <x:c r="D61" s="44" t="str">
        <x:v>10% working stock</x:v>
      </x:c>
      <x:c r="E61" s="46" t="n">
        <x:v>0.1</x:v>
      </x:c>
      <x:c r="F61" s="48" t="n">
        <x:v>5</x:v>
      </x:c>
      <x:c r="G61" s="48" t="n">
        <x:f>F61</x:f>
        <x:v>5</x:v>
      </x:c>
      <x:c r="H61" s="48" t="n">
        <x:f>F61*10</x:f>
        <x:v>50</x:v>
      </x:c>
      <x:c r="I61" s="44" t="str">
        <x:v>Amber warmth</x:v>
      </x:c>
      <x:c r="J61" s="44" t="str">
        <x:v>FUNCTIONAL RECONSTRUCTION HYPOTHESIS</x:v>
      </x:c>
      <x:c r="K61" s="44" t="str">
        <x:v>PASS</x:v>
      </x:c>
      <x:c r="L61" s="44" t="n">
        <x:f>SUMIF($A$16:$A$99,A61,$F$16:$F$99)</x:f>
        <x:v>1000</x:v>
      </x:c>
      <x:c r="M61" s="44" t="str">
        <x:v>BENCH CANDIDATE</x:v>
      </x:c>
    </x:row>
    <x:row r="62" ht="37" customHeight="1">
      <x:c r="A62" s="44" t="str">
        <x:v>ACC-AMB-01</x:v>
      </x:c>
      <x:c r="B62" s="44" t="str">
        <x:v>Ambergris Molecular Base v0.1</x:v>
      </x:c>
      <x:c r="C62" s="44" t="str">
        <x:v>Iso E Super</x:v>
      </x:c>
      <x:c r="D62" s="44" t="str">
        <x:v>neat/as supplied</x:v>
      </x:c>
      <x:c r="E62" s="46" t="n">
        <x:v>1</x:v>
      </x:c>
      <x:c r="F62" s="48" t="n">
        <x:v>20</x:v>
      </x:c>
      <x:c r="G62" s="48" t="n">
        <x:f>F62</x:f>
        <x:v>20</x:v>
      </x:c>
      <x:c r="H62" s="48" t="n">
        <x:f>F62*10</x:f>
        <x:v>200</x:v>
      </x:c>
      <x:c r="I62" s="44" t="str">
        <x:v>Transparent woody diffusion</x:v>
      </x:c>
      <x:c r="J62" s="44" t="str">
        <x:v>FUNCTIONAL RECONSTRUCTION HYPOTHESIS</x:v>
      </x:c>
      <x:c r="K62" s="44" t="str">
        <x:v>PASS</x:v>
      </x:c>
      <x:c r="L62" s="44" t="n">
        <x:f>SUMIF($A$16:$A$99,A62,$F$16:$F$99)</x:f>
        <x:v>1000</x:v>
      </x:c>
      <x:c r="M62" s="44" t="str">
        <x:v>BENCH CANDIDATE</x:v>
      </x:c>
    </x:row>
    <x:row r="63" ht="37" customHeight="1">
      <x:c r="A63" s="44" t="str">
        <x:v>ACC-OBF-01</x:v>
      </x:c>
      <x:c r="B63" s="44" t="str">
        <x:v>Orange Blossom Accord v0.1</x:v>
      </x:c>
      <x:c r="C63" s="44" t="str">
        <x:v>Hedione</x:v>
      </x:c>
      <x:c r="D63" s="44" t="str">
        <x:v>neat/as supplied</x:v>
      </x:c>
      <x:c r="E63" s="46" t="n">
        <x:v>1</x:v>
      </x:c>
      <x:c r="F63" s="48" t="n">
        <x:v>280</x:v>
      </x:c>
      <x:c r="G63" s="48" t="n">
        <x:f>F63</x:f>
        <x:v>280</x:v>
      </x:c>
      <x:c r="H63" s="48" t="n">
        <x:f>F63*10</x:f>
        <x:v>2800</x:v>
      </x:c>
      <x:c r="I63" s="44" t="str">
        <x:v>Jasmine-air bloom</x:v>
      </x:c>
      <x:c r="J63" s="44" t="str">
        <x:v>FUNCTIONAL RECONSTRUCTION HYPOTHESIS</x:v>
      </x:c>
      <x:c r="K63" s="44" t="str">
        <x:v>PASS</x:v>
      </x:c>
      <x:c r="L63" s="44" t="n">
        <x:f>SUMIF($A$16:$A$99,A63,$F$16:$F$99)</x:f>
        <x:v>1000</x:v>
      </x:c>
      <x:c r="M63" s="44" t="str">
        <x:v>BENCH CANDIDATE</x:v>
      </x:c>
    </x:row>
    <x:row r="64" ht="37" customHeight="1">
      <x:c r="A64" s="44" t="str">
        <x:v>ACC-OBF-01</x:v>
      </x:c>
      <x:c r="B64" s="44" t="str">
        <x:v>Orange Blossom Accord v0.1</x:v>
      </x:c>
      <x:c r="C64" s="44" t="str">
        <x:v>Neroli EO</x:v>
      </x:c>
      <x:c r="D64" s="44" t="str">
        <x:v>10% in DPG</x:v>
      </x:c>
      <x:c r="E64" s="46" t="n">
        <x:v>0.1</x:v>
      </x:c>
      <x:c r="F64" s="48" t="n">
        <x:v>180</x:v>
      </x:c>
      <x:c r="G64" s="48" t="n">
        <x:f>F64</x:f>
        <x:v>180</x:v>
      </x:c>
      <x:c r="H64" s="48" t="n">
        <x:f>F64*10</x:f>
        <x:v>1800</x:v>
      </x:c>
      <x:c r="I64" s="44" t="str">
        <x:v>Natural neroli identity</x:v>
      </x:c>
      <x:c r="J64" s="44" t="str">
        <x:v>FUNCTIONAL RECONSTRUCTION HYPOTHESIS</x:v>
      </x:c>
      <x:c r="K64" s="44" t="str">
        <x:v>PASS</x:v>
      </x:c>
      <x:c r="L64" s="44" t="n">
        <x:f>SUMIF($A$16:$A$99,A64,$F$16:$F$99)</x:f>
        <x:v>1000</x:v>
      </x:c>
      <x:c r="M64" s="44" t="str">
        <x:v>BENCH CANDIDATE</x:v>
      </x:c>
    </x:row>
    <x:row r="65" ht="37" customHeight="1">
      <x:c r="A65" s="44" t="str">
        <x:v>ACC-OBF-01</x:v>
      </x:c>
      <x:c r="B65" s="44" t="str">
        <x:v>Orange Blossom Accord v0.1</x:v>
      </x:c>
      <x:c r="C65" s="44" t="str">
        <x:v>Hydroxycitronellal</x:v>
      </x:c>
      <x:c r="D65" s="44" t="str">
        <x:v>neat/as supplied</x:v>
      </x:c>
      <x:c r="E65" s="46" t="n">
        <x:v>1</x:v>
      </x:c>
      <x:c r="F65" s="48" t="n">
        <x:v>140</x:v>
      </x:c>
      <x:c r="G65" s="48" t="n">
        <x:f>F65</x:f>
        <x:v>140</x:v>
      </x:c>
      <x:c r="H65" s="48" t="n">
        <x:f>F65*10</x:f>
        <x:v>1400</x:v>
      </x:c>
      <x:c r="I65" s="44" t="str">
        <x:v>Muguet soap-floral body</x:v>
      </x:c>
      <x:c r="J65" s="44" t="str">
        <x:v>FUNCTIONAL RECONSTRUCTION HYPOTHESIS</x:v>
      </x:c>
      <x:c r="K65" s="44" t="str">
        <x:v>PASS</x:v>
      </x:c>
      <x:c r="L65" s="44" t="n">
        <x:f>SUMIF($A$16:$A$99,A65,$F$16:$F$99)</x:f>
        <x:v>1000</x:v>
      </x:c>
      <x:c r="M65" s="44" t="str">
        <x:v>BENCH CANDIDATE</x:v>
      </x:c>
    </x:row>
    <x:row r="66" ht="37" customHeight="1">
      <x:c r="A66" s="44" t="str">
        <x:v>ACC-OBF-01</x:v>
      </x:c>
      <x:c r="B66" s="44" t="str">
        <x:v>Orange Blossom Accord v0.1</x:v>
      </x:c>
      <x:c r="C66" s="44" t="str">
        <x:v>Benzyl Acetate</x:v>
      </x:c>
      <x:c r="D66" s="44" t="str">
        <x:v>neat/as supplied</x:v>
      </x:c>
      <x:c r="E66" s="46" t="n">
        <x:v>1</x:v>
      </x:c>
      <x:c r="F66" s="48" t="n">
        <x:v>80</x:v>
      </x:c>
      <x:c r="G66" s="48" t="n">
        <x:f>F66</x:f>
        <x:v>80</x:v>
      </x:c>
      <x:c r="H66" s="48" t="n">
        <x:f>F66*10</x:f>
        <x:v>800</x:v>
      </x:c>
      <x:c r="I66" s="44" t="str">
        <x:v>Jasmine-orange blossom fruitiness</x:v>
      </x:c>
      <x:c r="J66" s="44" t="str">
        <x:v>FUNCTIONAL RECONSTRUCTION HYPOTHESIS</x:v>
      </x:c>
      <x:c r="K66" s="44" t="str">
        <x:v>PASS</x:v>
      </x:c>
      <x:c r="L66" s="44" t="n">
        <x:f>SUMIF($A$16:$A$99,A66,$F$16:$F$99)</x:f>
        <x:v>1000</x:v>
      </x:c>
      <x:c r="M66" s="44" t="str">
        <x:v>BENCH CANDIDATE</x:v>
      </x:c>
    </x:row>
    <x:row r="67" ht="37" customHeight="1">
      <x:c r="A67" s="44" t="str">
        <x:v>ACC-OBF-01</x:v>
      </x:c>
      <x:c r="B67" s="44" t="str">
        <x:v>Orange Blossom Accord v0.1</x:v>
      </x:c>
      <x:c r="C67" s="44" t="str">
        <x:v>Nerol</x:v>
      </x:c>
      <x:c r="D67" s="44" t="str">
        <x:v>neat/as supplied</x:v>
      </x:c>
      <x:c r="E67" s="46" t="n">
        <x:v>1</x:v>
      </x:c>
      <x:c r="F67" s="48" t="n">
        <x:v>70</x:v>
      </x:c>
      <x:c r="G67" s="48" t="n">
        <x:f>F67</x:f>
        <x:v>70</x:v>
      </x:c>
      <x:c r="H67" s="48" t="n">
        <x:f>F67*10</x:f>
        <x:v>700</x:v>
      </x:c>
      <x:c r="I67" s="44" t="str">
        <x:v>Fresh rosy-orange blossom facet</x:v>
      </x:c>
      <x:c r="J67" s="44" t="str">
        <x:v>FUNCTIONAL RECONSTRUCTION HYPOTHESIS</x:v>
      </x:c>
      <x:c r="K67" s="44" t="str">
        <x:v>PASS</x:v>
      </x:c>
      <x:c r="L67" s="44" t="n">
        <x:f>SUMIF($A$16:$A$99,A67,$F$16:$F$99)</x:f>
        <x:v>1000</x:v>
      </x:c>
      <x:c r="M67" s="44" t="str">
        <x:v>BENCH CANDIDATE</x:v>
      </x:c>
    </x:row>
    <x:row r="68" ht="37" customHeight="1">
      <x:c r="A68" s="44" t="str">
        <x:v>ACC-OBF-01</x:v>
      </x:c>
      <x:c r="B68" s="44" t="str">
        <x:v>Orange Blossom Accord v0.1</x:v>
      </x:c>
      <x:c r="C68" s="44" t="str">
        <x:v>Aurantiol</x:v>
      </x:c>
      <x:c r="D68" s="44" t="str">
        <x:v>10% in DPG</x:v>
      </x:c>
      <x:c r="E68" s="46" t="n">
        <x:v>0.1</x:v>
      </x:c>
      <x:c r="F68" s="48" t="n">
        <x:v>60</x:v>
      </x:c>
      <x:c r="G68" s="48" t="n">
        <x:f>F68</x:f>
        <x:v>60</x:v>
      </x:c>
      <x:c r="H68" s="48" t="n">
        <x:f>F68*10</x:f>
        <x:v>600</x:v>
      </x:c>
      <x:c r="I68" s="44" t="str">
        <x:v>Orange blossom Schiff-base body</x:v>
      </x:c>
      <x:c r="J68" s="44" t="str">
        <x:v>FUNCTIONAL RECONSTRUCTION HYPOTHESIS</x:v>
      </x:c>
      <x:c r="K68" s="44" t="str">
        <x:v>PASS</x:v>
      </x:c>
      <x:c r="L68" s="44" t="n">
        <x:f>SUMIF($A$16:$A$99,A68,$F$16:$F$99)</x:f>
        <x:v>1000</x:v>
      </x:c>
      <x:c r="M68" s="44" t="str">
        <x:v>BENCH CANDIDATE</x:v>
      </x:c>
    </x:row>
    <x:row r="69" ht="37" customHeight="1">
      <x:c r="A69" s="44" t="str">
        <x:v>ACC-OBF-01</x:v>
      </x:c>
      <x:c r="B69" s="44" t="str">
        <x:v>Orange Blossom Accord v0.1</x:v>
      </x:c>
      <x:c r="C69" s="44" t="str">
        <x:v>Oranger Crystals</x:v>
      </x:c>
      <x:c r="D69" s="44" t="str">
        <x:v>10% in DPG</x:v>
      </x:c>
      <x:c r="E69" s="46" t="n">
        <x:v>0.1</x:v>
      </x:c>
      <x:c r="F69" s="48" t="n">
        <x:v>55</x:v>
      </x:c>
      <x:c r="G69" s="48" t="n">
        <x:f>F69</x:f>
        <x:v>55</x:v>
      </x:c>
      <x:c r="H69" s="48" t="n">
        <x:f>F69*10</x:f>
        <x:v>550</x:v>
      </x:c>
      <x:c r="I69" s="44" t="str">
        <x:v>Persistent orange blossom body</x:v>
      </x:c>
      <x:c r="J69" s="44" t="str">
        <x:v>FUNCTIONAL RECONSTRUCTION HYPOTHESIS</x:v>
      </x:c>
      <x:c r="K69" s="44" t="str">
        <x:v>PASS</x:v>
      </x:c>
      <x:c r="L69" s="44" t="n">
        <x:f>SUMIF($A$16:$A$99,A69,$F$16:$F$99)</x:f>
        <x:v>1000</x:v>
      </x:c>
      <x:c r="M69" s="44" t="str">
        <x:v>BENCH CANDIDATE</x:v>
      </x:c>
    </x:row>
    <x:row r="70" ht="37" customHeight="1">
      <x:c r="A70" s="44" t="str">
        <x:v>ACC-OBF-01</x:v>
      </x:c>
      <x:c r="B70" s="44" t="str">
        <x:v>Orange Blossom Accord v0.1</x:v>
      </x:c>
      <x:c r="C70" s="44" t="str">
        <x:v>Methyl Anthranilate</x:v>
      </x:c>
      <x:c r="D70" s="44" t="str">
        <x:v>prepare 10% in DPG</x:v>
      </x:c>
      <x:c r="E70" s="46" t="n">
        <x:v>0.1</x:v>
      </x:c>
      <x:c r="F70" s="48" t="n">
        <x:v>45</x:v>
      </x:c>
      <x:c r="G70" s="48" t="n">
        <x:f>F70</x:f>
        <x:v>45</x:v>
      </x:c>
      <x:c r="H70" s="48" t="n">
        <x:f>F70*10</x:f>
        <x:v>450</x:v>
      </x:c>
      <x:c r="I70" s="44" t="str">
        <x:v>Grape-orange blossom depth</x:v>
      </x:c>
      <x:c r="J70" s="44" t="str">
        <x:v>FUNCTIONAL RECONSTRUCTION HYPOTHESIS</x:v>
      </x:c>
      <x:c r="K70" s="44" t="str">
        <x:v>PREPARE / VERIFY EXACT STOCK</x:v>
      </x:c>
      <x:c r="L70" s="44" t="n">
        <x:f>SUMIF($A$16:$A$99,A70,$F$16:$F$99)</x:f>
        <x:v>1000</x:v>
      </x:c>
      <x:c r="M70" s="44" t="str">
        <x:v>BENCH CANDIDATE</x:v>
      </x:c>
    </x:row>
    <x:row r="71" ht="37" customHeight="1">
      <x:c r="A71" s="44" t="str">
        <x:v>ACC-OBF-01</x:v>
      </x:c>
      <x:c r="B71" s="44" t="str">
        <x:v>Orange Blossom Accord v0.1</x:v>
      </x:c>
      <x:c r="C71" s="44" t="str">
        <x:v>Nerolidol</x:v>
      </x:c>
      <x:c r="D71" s="44" t="str">
        <x:v>neat/as supplied</x:v>
      </x:c>
      <x:c r="E71" s="46" t="n">
        <x:v>1</x:v>
      </x:c>
      <x:c r="F71" s="48" t="n">
        <x:v>30</x:v>
      </x:c>
      <x:c r="G71" s="48" t="n">
        <x:f>F71</x:f>
        <x:v>30</x:v>
      </x:c>
      <x:c r="H71" s="48" t="n">
        <x:f>F71*10</x:f>
        <x:v>300</x:v>
      </x:c>
      <x:c r="I71" s="44" t="str">
        <x:v>Floral woody persistence</x:v>
      </x:c>
      <x:c r="J71" s="44" t="str">
        <x:v>FUNCTIONAL RECONSTRUCTION HYPOTHESIS</x:v>
      </x:c>
      <x:c r="K71" s="44" t="str">
        <x:v>PASS</x:v>
      </x:c>
      <x:c r="L71" s="44" t="n">
        <x:f>SUMIF($A$16:$A$99,A71,$F$16:$F$99)</x:f>
        <x:v>1000</x:v>
      </x:c>
      <x:c r="M71" s="44" t="str">
        <x:v>BENCH CANDIDATE</x:v>
      </x:c>
    </x:row>
    <x:row r="72" ht="37" customHeight="1">
      <x:c r="A72" s="44" t="str">
        <x:v>ACC-OBF-01</x:v>
      </x:c>
      <x:c r="B72" s="44" t="str">
        <x:v>Orange Blossom Accord v0.1</x:v>
      </x:c>
      <x:c r="C72" s="44" t="str">
        <x:v>Linalool</x:v>
      </x:c>
      <x:c r="D72" s="44" t="str">
        <x:v>neat/as supplied</x:v>
      </x:c>
      <x:c r="E72" s="46" t="n">
        <x:v>1</x:v>
      </x:c>
      <x:c r="F72" s="48" t="n">
        <x:v>25</x:v>
      </x:c>
      <x:c r="G72" s="48" t="n">
        <x:f>F72</x:f>
        <x:v>25</x:v>
      </x:c>
      <x:c r="H72" s="48" t="n">
        <x:f>F72*10</x:f>
        <x:v>250</x:v>
      </x:c>
      <x:c r="I72" s="44" t="str">
        <x:v>Fresh floral lift</x:v>
      </x:c>
      <x:c r="J72" s="44" t="str">
        <x:v>FUNCTIONAL RECONSTRUCTION HYPOTHESIS</x:v>
      </x:c>
      <x:c r="K72" s="44" t="str">
        <x:v>PASS</x:v>
      </x:c>
      <x:c r="L72" s="44" t="n">
        <x:f>SUMIF($A$16:$A$99,A72,$F$16:$F$99)</x:f>
        <x:v>1000</x:v>
      </x:c>
      <x:c r="M72" s="44" t="str">
        <x:v>BENCH CANDIDATE</x:v>
      </x:c>
    </x:row>
    <x:row r="73" ht="37" customHeight="1">
      <x:c r="A73" s="44" t="str">
        <x:v>ACC-OBF-01</x:v>
      </x:c>
      <x:c r="B73" s="44" t="str">
        <x:v>Orange Blossom Accord v0.1</x:v>
      </x:c>
      <x:c r="C73" s="44" t="str">
        <x:v>Linalyl Acetate</x:v>
      </x:c>
      <x:c r="D73" s="44" t="str">
        <x:v>neat/as supplied</x:v>
      </x:c>
      <x:c r="E73" s="46" t="n">
        <x:v>1</x:v>
      </x:c>
      <x:c r="F73" s="48" t="n">
        <x:v>20</x:v>
      </x:c>
      <x:c r="G73" s="48" t="n">
        <x:f>F73</x:f>
        <x:v>20</x:v>
      </x:c>
      <x:c r="H73" s="48" t="n">
        <x:f>F73*10</x:f>
        <x:v>200</x:v>
      </x:c>
      <x:c r="I73" s="44" t="str">
        <x:v>Fresh citrus-floral transition</x:v>
      </x:c>
      <x:c r="J73" s="44" t="str">
        <x:v>FUNCTIONAL RECONSTRUCTION HYPOTHESIS</x:v>
      </x:c>
      <x:c r="K73" s="44" t="str">
        <x:v>PASS</x:v>
      </x:c>
      <x:c r="L73" s="44" t="n">
        <x:f>SUMIF($A$16:$A$99,A73,$F$16:$F$99)</x:f>
        <x:v>1000</x:v>
      </x:c>
      <x:c r="M73" s="44" t="str">
        <x:v>BENCH CANDIDATE</x:v>
      </x:c>
    </x:row>
    <x:row r="74" ht="37" customHeight="1">
      <x:c r="A74" s="44" t="str">
        <x:v>ACC-OBF-01</x:v>
      </x:c>
      <x:c r="B74" s="44" t="str">
        <x:v>Orange Blossom Accord v0.1</x:v>
      </x:c>
      <x:c r="C74" s="44" t="str">
        <x:v>Indole</x:v>
      </x:c>
      <x:c r="D74" s="44" t="str">
        <x:v>10% working stock</x:v>
      </x:c>
      <x:c r="E74" s="46" t="n">
        <x:v>0.1</x:v>
      </x:c>
      <x:c r="F74" s="48" t="n">
        <x:v>5</x:v>
      </x:c>
      <x:c r="G74" s="48" t="n">
        <x:f>F74</x:f>
        <x:v>5</x:v>
      </x:c>
      <x:c r="H74" s="48" t="n">
        <x:f>F74*10</x:f>
        <x:v>50</x:v>
      </x:c>
      <x:c r="I74" s="44" t="str">
        <x:v>Natural white-floral trace</x:v>
      </x:c>
      <x:c r="J74" s="44" t="str">
        <x:v>FUNCTIONAL RECONSTRUCTION HYPOTHESIS</x:v>
      </x:c>
      <x:c r="K74" s="44" t="str">
        <x:v>PASS</x:v>
      </x:c>
      <x:c r="L74" s="44" t="n">
        <x:f>SUMIF($A$16:$A$99,A74,$F$16:$F$99)</x:f>
        <x:v>1000</x:v>
      </x:c>
      <x:c r="M74" s="44" t="str">
        <x:v>BENCH CANDIDATE</x:v>
      </x:c>
    </x:row>
    <x:row r="75" ht="37" customHeight="1">
      <x:c r="A75" s="44" t="str">
        <x:v>ACC-OBF-01</x:v>
      </x:c>
      <x:c r="B75" s="44" t="str">
        <x:v>Orange Blossom Accord v0.1</x:v>
      </x:c>
      <x:c r="C75" s="44" t="str">
        <x:v>Petitgrain EO Paraguay</x:v>
      </x:c>
      <x:c r="D75" s="44" t="str">
        <x:v>neat/as supplied</x:v>
      </x:c>
      <x:c r="E75" s="46" t="n">
        <x:v>1</x:v>
      </x:c>
      <x:c r="F75" s="48" t="n">
        <x:v>10</x:v>
      </x:c>
      <x:c r="G75" s="48" t="n">
        <x:f>F75</x:f>
        <x:v>10</x:v>
      </x:c>
      <x:c r="H75" s="48" t="n">
        <x:f>F75*10</x:f>
        <x:v>100</x:v>
      </x:c>
      <x:c r="I75" s="44" t="str">
        <x:v>Leafy bitter-orange contour</x:v>
      </x:c>
      <x:c r="J75" s="44" t="str">
        <x:v>FUNCTIONAL RECONSTRUCTION HYPOTHESIS</x:v>
      </x:c>
      <x:c r="K75" s="44" t="str">
        <x:v>PASS</x:v>
      </x:c>
      <x:c r="L75" s="44" t="n">
        <x:f>SUMIF($A$16:$A$99,A75,$F$16:$F$99)</x:f>
        <x:v>1000</x:v>
      </x:c>
      <x:c r="M75" s="44" t="str">
        <x:v>BENCH CANDIDATE</x:v>
      </x:c>
    </x:row>
    <x:row r="76" ht="37" customHeight="1">
      <x:c r="A76" s="44" t="str">
        <x:v>ACC-LIN-01</x:v>
      </x:c>
      <x:c r="B76" s="44" t="str">
        <x:v>Metallic Linen Accord v0.1</x:v>
      </x:c>
      <x:c r="C76" s="44" t="str">
        <x:v>Habanolide</x:v>
      </x:c>
      <x:c r="D76" s="44" t="str">
        <x:v>neat/as supplied</x:v>
      </x:c>
      <x:c r="E76" s="46" t="n">
        <x:v>1</x:v>
      </x:c>
      <x:c r="F76" s="48" t="n">
        <x:v>220</x:v>
      </x:c>
      <x:c r="G76" s="48" t="n">
        <x:f>F76</x:f>
        <x:v>220</x:v>
      </x:c>
      <x:c r="H76" s="48" t="n">
        <x:f>F76*10</x:f>
        <x:v>2200</x:v>
      </x:c>
      <x:c r="I76" s="44" t="str">
        <x:v>Cool metallic textile musk</x:v>
      </x:c>
      <x:c r="J76" s="44" t="str">
        <x:v>FUNCTIONAL RECONSTRUCTION HYPOTHESIS</x:v>
      </x:c>
      <x:c r="K76" s="44" t="str">
        <x:v>PASS</x:v>
      </x:c>
      <x:c r="L76" s="44" t="n">
        <x:f>SUMIF($A$16:$A$99,A76,$F$16:$F$99)</x:f>
        <x:v>1000</x:v>
      </x:c>
      <x:c r="M76" s="44" t="str">
        <x:v>BENCH CANDIDATE</x:v>
      </x:c>
    </x:row>
    <x:row r="77" ht="37" customHeight="1">
      <x:c r="A77" s="44" t="str">
        <x:v>ACC-LIN-01</x:v>
      </x:c>
      <x:c r="B77" s="44" t="str">
        <x:v>Metallic Linen Accord v0.1</x:v>
      </x:c>
      <x:c r="C77" s="44" t="str">
        <x:v>Galaxolide</x:v>
      </x:c>
      <x:c r="D77" s="44" t="str">
        <x:v>50% in DEP</x:v>
      </x:c>
      <x:c r="E77" s="46" t="n">
        <x:v>0.5</x:v>
      </x:c>
      <x:c r="F77" s="48" t="n">
        <x:v>160</x:v>
      </x:c>
      <x:c r="G77" s="48" t="n">
        <x:f>F77</x:f>
        <x:v>160</x:v>
      </x:c>
      <x:c r="H77" s="48" t="n">
        <x:f>F77*10</x:f>
        <x:v>1600</x:v>
      </x:c>
      <x:c r="I77" s="44" t="str">
        <x:v>Soft clean-laundry musk body</x:v>
      </x:c>
      <x:c r="J77" s="44" t="str">
        <x:v>FUNCTIONAL RECONSTRUCTION HYPOTHESIS</x:v>
      </x:c>
      <x:c r="K77" s="44" t="str">
        <x:v>PASS</x:v>
      </x:c>
      <x:c r="L77" s="44" t="n">
        <x:f>SUMIF($A$16:$A$99,A77,$F$16:$F$99)</x:f>
        <x:v>1000</x:v>
      </x:c>
      <x:c r="M77" s="44" t="str">
        <x:v>BENCH CANDIDATE</x:v>
      </x:c>
    </x:row>
    <x:row r="78" ht="37" customHeight="1">
      <x:c r="A78" s="44" t="str">
        <x:v>ACC-LIN-01</x:v>
      </x:c>
      <x:c r="B78" s="44" t="str">
        <x:v>Metallic Linen Accord v0.1</x:v>
      </x:c>
      <x:c r="C78" s="44" t="str">
        <x:v>Hedione</x:v>
      </x:c>
      <x:c r="D78" s="44" t="str">
        <x:v>neat/as supplied</x:v>
      </x:c>
      <x:c r="E78" s="46" t="n">
        <x:v>1</x:v>
      </x:c>
      <x:c r="F78" s="48" t="n">
        <x:v>200</x:v>
      </x:c>
      <x:c r="G78" s="48" t="n">
        <x:f>F78</x:f>
        <x:v>200</x:v>
      </x:c>
      <x:c r="H78" s="48" t="n">
        <x:f>F78*10</x:f>
        <x:v>2000</x:v>
      </x:c>
      <x:c r="I78" s="44" t="str">
        <x:v>Air and diffusion</x:v>
      </x:c>
      <x:c r="J78" s="44" t="str">
        <x:v>FUNCTIONAL RECONSTRUCTION HYPOTHESIS</x:v>
      </x:c>
      <x:c r="K78" s="44" t="str">
        <x:v>PASS</x:v>
      </x:c>
      <x:c r="L78" s="44" t="n">
        <x:f>SUMIF($A$16:$A$99,A78,$F$16:$F$99)</x:f>
        <x:v>1000</x:v>
      </x:c>
      <x:c r="M78" s="44" t="str">
        <x:v>BENCH CANDIDATE</x:v>
      </x:c>
    </x:row>
    <x:row r="79" ht="37" customHeight="1">
      <x:c r="A79" s="44" t="str">
        <x:v>ACC-LIN-01</x:v>
      </x:c>
      <x:c r="B79" s="44" t="str">
        <x:v>Metallic Linen Accord v0.1</x:v>
      </x:c>
      <x:c r="C79" s="44" t="str">
        <x:v>Hydroxycitronellal</x:v>
      </x:c>
      <x:c r="D79" s="44" t="str">
        <x:v>neat/as supplied</x:v>
      </x:c>
      <x:c r="E79" s="46" t="n">
        <x:v>1</x:v>
      </x:c>
      <x:c r="F79" s="48" t="n">
        <x:v>120</x:v>
      </x:c>
      <x:c r="G79" s="48" t="n">
        <x:f>F79</x:f>
        <x:v>120</x:v>
      </x:c>
      <x:c r="H79" s="48" t="n">
        <x:f>F79*10</x:f>
        <x:v>1200</x:v>
      </x:c>
      <x:c r="I79" s="44" t="str">
        <x:v>Clean muguet/soap heart</x:v>
      </x:c>
      <x:c r="J79" s="44" t="str">
        <x:v>FUNCTIONAL RECONSTRUCTION HYPOTHESIS</x:v>
      </x:c>
      <x:c r="K79" s="44" t="str">
        <x:v>PASS</x:v>
      </x:c>
      <x:c r="L79" s="44" t="n">
        <x:f>SUMIF($A$16:$A$99,A79,$F$16:$F$99)</x:f>
        <x:v>1000</x:v>
      </x:c>
      <x:c r="M79" s="44" t="str">
        <x:v>BENCH CANDIDATE</x:v>
      </x:c>
    </x:row>
    <x:row r="80" ht="37" customHeight="1">
      <x:c r="A80" s="44" t="str">
        <x:v>ACC-LIN-01</x:v>
      </x:c>
      <x:c r="B80" s="44" t="str">
        <x:v>Metallic Linen Accord v0.1</x:v>
      </x:c>
      <x:c r="C80" s="44" t="str">
        <x:v>Helional</x:v>
      </x:c>
      <x:c r="D80" s="44" t="str">
        <x:v>10% working stock</x:v>
      </x:c>
      <x:c r="E80" s="46" t="n">
        <x:v>0.1</x:v>
      </x:c>
      <x:c r="F80" s="48" t="n">
        <x:v>80</x:v>
      </x:c>
      <x:c r="G80" s="48" t="n">
        <x:f>F80</x:f>
        <x:v>80</x:v>
      </x:c>
      <x:c r="H80" s="48" t="n">
        <x:f>F80*10</x:f>
        <x:v>800</x:v>
      </x:c>
      <x:c r="I80" s="44" t="str">
        <x:v>Watery metallic floral air</x:v>
      </x:c>
      <x:c r="J80" s="44" t="str">
        <x:v>FUNCTIONAL RECONSTRUCTION HYPOTHESIS</x:v>
      </x:c>
      <x:c r="K80" s="44" t="str">
        <x:v>PASS</x:v>
      </x:c>
      <x:c r="L80" s="44" t="n">
        <x:f>SUMIF($A$16:$A$99,A80,$F$16:$F$99)</x:f>
        <x:v>1000</x:v>
      </x:c>
      <x:c r="M80" s="44" t="str">
        <x:v>BENCH CANDIDATE</x:v>
      </x:c>
    </x:row>
    <x:row r="81" ht="37" customHeight="1">
      <x:c r="A81" s="44" t="str">
        <x:v>ACC-LIN-01</x:v>
      </x:c>
      <x:c r="B81" s="44" t="str">
        <x:v>Metallic Linen Accord v0.1</x:v>
      </x:c>
      <x:c r="C81" s="44" t="str">
        <x:v>Floralozone</x:v>
      </x:c>
      <x:c r="D81" s="44" t="str">
        <x:v>10% working stock</x:v>
      </x:c>
      <x:c r="E81" s="46" t="n">
        <x:v>0.1</x:v>
      </x:c>
      <x:c r="F81" s="48" t="n">
        <x:v>40</x:v>
      </x:c>
      <x:c r="G81" s="48" t="n">
        <x:f>F81</x:f>
        <x:v>40</x:v>
      </x:c>
      <x:c r="H81" s="48" t="n">
        <x:f>F81*10</x:f>
        <x:v>400</x:v>
      </x:c>
      <x:c r="I81" s="44" t="str">
        <x:v>Fresh-air and ozonic lift</x:v>
      </x:c>
      <x:c r="J81" s="44" t="str">
        <x:v>FUNCTIONAL RECONSTRUCTION HYPOTHESIS</x:v>
      </x:c>
      <x:c r="K81" s="44" t="str">
        <x:v>PASS</x:v>
      </x:c>
      <x:c r="L81" s="44" t="n">
        <x:f>SUMIF($A$16:$A$99,A81,$F$16:$F$99)</x:f>
        <x:v>1000</x:v>
      </x:c>
      <x:c r="M81" s="44" t="str">
        <x:v>BENCH CANDIDATE</x:v>
      </x:c>
    </x:row>
    <x:row r="82" ht="37" customHeight="1">
      <x:c r="A82" s="44" t="str">
        <x:v>ACC-LIN-01</x:v>
      </x:c>
      <x:c r="B82" s="44" t="str">
        <x:v>Metallic Linen Accord v0.1</x:v>
      </x:c>
      <x:c r="C82" s="44" t="str">
        <x:v>Adoxal</x:v>
      </x:c>
      <x:c r="D82" s="44" t="str">
        <x:v>10% in DPG</x:v>
      </x:c>
      <x:c r="E82" s="46" t="n">
        <x:v>0.1</x:v>
      </x:c>
      <x:c r="F82" s="48" t="n">
        <x:v>35</x:v>
      </x:c>
      <x:c r="G82" s="48" t="n">
        <x:f>F82</x:f>
        <x:v>35</x:v>
      </x:c>
      <x:c r="H82" s="48" t="n">
        <x:f>F82*10</x:f>
        <x:v>350</x:v>
      </x:c>
      <x:c r="I82" s="44" t="str">
        <x:v>Fresh linen, waxy aldehydic air</x:v>
      </x:c>
      <x:c r="J82" s="44" t="str">
        <x:v>FUNCTIONAL RECONSTRUCTION HYPOTHESIS</x:v>
      </x:c>
      <x:c r="K82" s="44" t="str">
        <x:v>PASS</x:v>
      </x:c>
      <x:c r="L82" s="44" t="n">
        <x:f>SUMIF($A$16:$A$99,A82,$F$16:$F$99)</x:f>
        <x:v>1000</x:v>
      </x:c>
      <x:c r="M82" s="44" t="str">
        <x:v>BENCH CANDIDATE</x:v>
      </x:c>
    </x:row>
    <x:row r="83" ht="37" customHeight="1">
      <x:c r="A83" s="44" t="str">
        <x:v>ACC-LIN-01</x:v>
      </x:c>
      <x:c r="B83" s="44" t="str">
        <x:v>Metallic Linen Accord v0.1</x:v>
      </x:c>
      <x:c r="C83" s="44" t="str">
        <x:v>Aldehyde C10</x:v>
      </x:c>
      <x:c r="D83" s="44" t="str">
        <x:v>10% working dilution</x:v>
      </x:c>
      <x:c r="E83" s="46" t="n">
        <x:v>0.1</x:v>
      </x:c>
      <x:c r="F83" s="48" t="n">
        <x:v>25</x:v>
      </x:c>
      <x:c r="G83" s="48" t="n">
        <x:f>F83</x:f>
        <x:v>25</x:v>
      </x:c>
      <x:c r="H83" s="48" t="n">
        <x:f>F83*10</x:f>
        <x:v>250</x:v>
      </x:c>
      <x:c r="I83" s="44" t="str">
        <x:v>Citrus-aldehydic sparkle</x:v>
      </x:c>
      <x:c r="J83" s="44" t="str">
        <x:v>FUNCTIONAL RECONSTRUCTION HYPOTHESIS</x:v>
      </x:c>
      <x:c r="K83" s="44" t="str">
        <x:v>PASS</x:v>
      </x:c>
      <x:c r="L83" s="44" t="n">
        <x:f>SUMIF($A$16:$A$99,A83,$F$16:$F$99)</x:f>
        <x:v>1000</x:v>
      </x:c>
      <x:c r="M83" s="44" t="str">
        <x:v>BENCH CANDIDATE</x:v>
      </x:c>
    </x:row>
    <x:row r="84" ht="37" customHeight="1">
      <x:c r="A84" s="44" t="str">
        <x:v>ACC-LIN-01</x:v>
      </x:c>
      <x:c r="B84" s="44" t="str">
        <x:v>Metallic Linen Accord v0.1</x:v>
      </x:c>
      <x:c r="C84" s="44" t="str">
        <x:v>Aldehyde C11</x:v>
      </x:c>
      <x:c r="D84" s="44" t="str">
        <x:v>10% working dilution</x:v>
      </x:c>
      <x:c r="E84" s="46" t="n">
        <x:v>0.1</x:v>
      </x:c>
      <x:c r="F84" s="48" t="n">
        <x:v>20</x:v>
      </x:c>
      <x:c r="G84" s="48" t="n">
        <x:f>F84</x:f>
        <x:v>20</x:v>
      </x:c>
      <x:c r="H84" s="48" t="n">
        <x:f>F84*10</x:f>
        <x:v>200</x:v>
      </x:c>
      <x:c r="I84" s="44" t="str">
        <x:v>Waxy metallic lift</x:v>
      </x:c>
      <x:c r="J84" s="44" t="str">
        <x:v>FUNCTIONAL RECONSTRUCTION HYPOTHESIS</x:v>
      </x:c>
      <x:c r="K84" s="44" t="str">
        <x:v>PASS</x:v>
      </x:c>
      <x:c r="L84" s="44" t="n">
        <x:f>SUMIF($A$16:$A$99,A84,$F$16:$F$99)</x:f>
        <x:v>1000</x:v>
      </x:c>
      <x:c r="M84" s="44" t="str">
        <x:v>BENCH CANDIDATE</x:v>
      </x:c>
    </x:row>
    <x:row r="85" ht="37" customHeight="1">
      <x:c r="A85" s="44" t="str">
        <x:v>ACC-LIN-01</x:v>
      </x:c>
      <x:c r="B85" s="44" t="str">
        <x:v>Metallic Linen Accord v0.1</x:v>
      </x:c>
      <x:c r="C85" s="44" t="str">
        <x:v>Aldehyde C12 MNA</x:v>
      </x:c>
      <x:c r="D85" s="44" t="str">
        <x:v>10% working dilution</x:v>
      </x:c>
      <x:c r="E85" s="46" t="n">
        <x:v>0.1</x:v>
      </x:c>
      <x:c r="F85" s="48" t="n">
        <x:v>10</x:v>
      </x:c>
      <x:c r="G85" s="48" t="n">
        <x:f>F85</x:f>
        <x:v>10</x:v>
      </x:c>
      <x:c r="H85" s="48" t="n">
        <x:f>F85*10</x:f>
        <x:v>100</x:v>
      </x:c>
      <x:c r="I85" s="44" t="str">
        <x:v>Dry metallic-aldehydic accent</x:v>
      </x:c>
      <x:c r="J85" s="44" t="str">
        <x:v>FUNCTIONAL RECONSTRUCTION HYPOTHESIS</x:v>
      </x:c>
      <x:c r="K85" s="44" t="str">
        <x:v>PASS</x:v>
      </x:c>
      <x:c r="L85" s="44" t="n">
        <x:f>SUMIF($A$16:$A$99,A85,$F$16:$F$99)</x:f>
        <x:v>1000</x:v>
      </x:c>
      <x:c r="M85" s="44" t="str">
        <x:v>BENCH CANDIDATE</x:v>
      </x:c>
    </x:row>
    <x:row r="86" ht="37" customHeight="1">
      <x:c r="A86" s="44" t="str">
        <x:v>ACC-LIN-01</x:v>
      </x:c>
      <x:c r="B86" s="44" t="str">
        <x:v>Metallic Linen Accord v0.1</x:v>
      </x:c>
      <x:c r="C86" s="44" t="str">
        <x:v>Neroli EO</x:v>
      </x:c>
      <x:c r="D86" s="44" t="str">
        <x:v>10% in DPG</x:v>
      </x:c>
      <x:c r="E86" s="46" t="n">
        <x:v>0.1</x:v>
      </x:c>
      <x:c r="F86" s="48" t="n">
        <x:v>25</x:v>
      </x:c>
      <x:c r="G86" s="48" t="n">
        <x:f>F86</x:f>
        <x:v>25</x:v>
      </x:c>
      <x:c r="H86" s="48" t="n">
        <x:f>F86*10</x:f>
        <x:v>250</x:v>
      </x:c>
      <x:c r="I86" s="44" t="str">
        <x:v>Restrained clean neroli</x:v>
      </x:c>
      <x:c r="J86" s="44" t="str">
        <x:v>FUNCTIONAL RECONSTRUCTION HYPOTHESIS</x:v>
      </x:c>
      <x:c r="K86" s="44" t="str">
        <x:v>PASS</x:v>
      </x:c>
      <x:c r="L86" s="44" t="n">
        <x:f>SUMIF($A$16:$A$99,A86,$F$16:$F$99)</x:f>
        <x:v>1000</x:v>
      </x:c>
      <x:c r="M86" s="44" t="str">
        <x:v>BENCH CANDIDATE</x:v>
      </x:c>
    </x:row>
    <x:row r="87" ht="37" customHeight="1">
      <x:c r="A87" s="44" t="str">
        <x:v>ACC-LIN-01</x:v>
      </x:c>
      <x:c r="B87" s="44" t="str">
        <x:v>Metallic Linen Accord v0.1</x:v>
      </x:c>
      <x:c r="C87" s="44" t="str">
        <x:v>Petitgrain EO Paraguay</x:v>
      </x:c>
      <x:c r="D87" s="44" t="str">
        <x:v>neat/as supplied</x:v>
      </x:c>
      <x:c r="E87" s="46" t="n">
        <x:v>1</x:v>
      </x:c>
      <x:c r="F87" s="48" t="n">
        <x:v>20</x:v>
      </x:c>
      <x:c r="G87" s="48" t="n">
        <x:f>F87</x:f>
        <x:v>20</x:v>
      </x:c>
      <x:c r="H87" s="48" t="n">
        <x:f>F87*10</x:f>
        <x:v>200</x:v>
      </x:c>
      <x:c r="I87" s="44" t="str">
        <x:v>Bitter-green fabric edge</x:v>
      </x:c>
      <x:c r="J87" s="44" t="str">
        <x:v>FUNCTIONAL RECONSTRUCTION HYPOTHESIS</x:v>
      </x:c>
      <x:c r="K87" s="44" t="str">
        <x:v>PASS</x:v>
      </x:c>
      <x:c r="L87" s="44" t="n">
        <x:f>SUMIF($A$16:$A$99,A87,$F$16:$F$99)</x:f>
        <x:v>1000</x:v>
      </x:c>
      <x:c r="M87" s="44" t="str">
        <x:v>BENCH CANDIDATE</x:v>
      </x:c>
    </x:row>
    <x:row r="88" ht="37" customHeight="1">
      <x:c r="A88" s="44" t="str">
        <x:v>ACC-LIN-01</x:v>
      </x:c>
      <x:c r="B88" s="44" t="str">
        <x:v>Metallic Linen Accord v0.1</x:v>
      </x:c>
      <x:c r="C88" s="44" t="str">
        <x:v>Dihydromyrcenol</x:v>
      </x:c>
      <x:c r="D88" s="44" t="str">
        <x:v>neat/as supplied</x:v>
      </x:c>
      <x:c r="E88" s="46" t="n">
        <x:v>1</x:v>
      </x:c>
      <x:c r="F88" s="48" t="n">
        <x:v>25</x:v>
      </x:c>
      <x:c r="G88" s="48" t="n">
        <x:f>F88</x:f>
        <x:v>25</x:v>
      </x:c>
      <x:c r="H88" s="48" t="n">
        <x:f>F88*10</x:f>
        <x:v>250</x:v>
      </x:c>
      <x:c r="I88" s="44" t="str">
        <x:v>Fresh clean diffusion</x:v>
      </x:c>
      <x:c r="J88" s="44" t="str">
        <x:v>FUNCTIONAL RECONSTRUCTION HYPOTHESIS</x:v>
      </x:c>
      <x:c r="K88" s="44" t="str">
        <x:v>PASS</x:v>
      </x:c>
      <x:c r="L88" s="44" t="n">
        <x:f>SUMIF($A$16:$A$99,A88,$F$16:$F$99)</x:f>
        <x:v>1000</x:v>
      </x:c>
      <x:c r="M88" s="44" t="str">
        <x:v>BENCH CANDIDATE</x:v>
      </x:c>
    </x:row>
    <x:row r="89" ht="37" customHeight="1">
      <x:c r="A89" s="44" t="str">
        <x:v>ACC-LIN-01</x:v>
      </x:c>
      <x:c r="B89" s="44" t="str">
        <x:v>Metallic Linen Accord v0.1</x:v>
      </x:c>
      <x:c r="C89" s="44" t="str">
        <x:v>Ambrettolide</x:v>
      </x:c>
      <x:c r="D89" s="44" t="str">
        <x:v>10% in DPG</x:v>
      </x:c>
      <x:c r="E89" s="46" t="n">
        <x:v>0.1</x:v>
      </x:c>
      <x:c r="F89" s="48" t="n">
        <x:v>20</x:v>
      </x:c>
      <x:c r="G89" s="48" t="n">
        <x:f>F89</x:f>
        <x:v>20</x:v>
      </x:c>
      <x:c r="H89" s="48" t="n">
        <x:f>F89*10</x:f>
        <x:v>200</x:v>
      </x:c>
      <x:c r="I89" s="44" t="str">
        <x:v>Soft skin-musk finish</x:v>
      </x:c>
      <x:c r="J89" s="44" t="str">
        <x:v>FUNCTIONAL RECONSTRUCTION HYPOTHESIS</x:v>
      </x:c>
      <x:c r="K89" s="44" t="str">
        <x:v>PASS</x:v>
      </x:c>
      <x:c r="L89" s="44" t="n">
        <x:f>SUMIF($A$16:$A$99,A89,$F$16:$F$99)</x:f>
        <x:v>1000</x:v>
      </x:c>
      <x:c r="M89" s="44" t="str">
        <x:v>BENCH CANDIDATE</x:v>
      </x:c>
    </x:row>
    <x:row r="90" ht="37" customHeight="1">
      <x:c r="A90" s="44" t="str">
        <x:v>ACC-LIC-01</x:v>
      </x:c>
      <x:c r="B90" s="44" t="str">
        <x:v>Dark Licorice Accord v0.1</x:v>
      </x:c>
      <x:c r="C90" s="44" t="str">
        <x:v>Anisaldehyde</x:v>
      </x:c>
      <x:c r="D90" s="44" t="str">
        <x:v>10% working stock</x:v>
      </x:c>
      <x:c r="E90" s="46" t="n">
        <x:v>0.1</x:v>
      </x:c>
      <x:c r="F90" s="48" t="n">
        <x:v>300</x:v>
      </x:c>
      <x:c r="G90" s="48" t="n">
        <x:f>F90</x:f>
        <x:v>300</x:v>
      </x:c>
      <x:c r="H90" s="48" t="n">
        <x:f>F90*10</x:f>
        <x:v>3000</x:v>
      </x:c>
      <x:c r="I90" s="44" t="str">
        <x:v>Anisic licorice body</x:v>
      </x:c>
      <x:c r="J90" s="44" t="str">
        <x:v>FUNCTIONAL RECONSTRUCTION HYPOTHESIS</x:v>
      </x:c>
      <x:c r="K90" s="44" t="str">
        <x:v>PASS</x:v>
      </x:c>
      <x:c r="L90" s="44" t="n">
        <x:f>SUMIF($A$16:$A$99,A90,$F$16:$F$99)</x:f>
        <x:v>1000</x:v>
      </x:c>
      <x:c r="M90" s="44" t="str">
        <x:v>BENCH CANDIDATE</x:v>
      </x:c>
    </x:row>
    <x:row r="91" ht="37" customHeight="1">
      <x:c r="A91" s="44" t="str">
        <x:v>ACC-LIC-01</x:v>
      </x:c>
      <x:c r="B91" s="44" t="str">
        <x:v>Dark Licorice Accord v0.1</x:v>
      </x:c>
      <x:c r="C91" s="44" t="str">
        <x:v>Anise EO</x:v>
      </x:c>
      <x:c r="D91" s="44" t="str">
        <x:v>1% working dilution</x:v>
      </x:c>
      <x:c r="E91" s="46" t="n">
        <x:v>0.01</x:v>
      </x:c>
      <x:c r="F91" s="48" t="n">
        <x:v>180</x:v>
      </x:c>
      <x:c r="G91" s="48" t="n">
        <x:f>F91</x:f>
        <x:v>180</x:v>
      </x:c>
      <x:c r="H91" s="48" t="n">
        <x:f>F91*10</x:f>
        <x:v>1800</x:v>
      </x:c>
      <x:c r="I91" s="44" t="str">
        <x:v>Natural anise/licorice top</x:v>
      </x:c>
      <x:c r="J91" s="44" t="str">
        <x:v>FUNCTIONAL RECONSTRUCTION HYPOTHESIS</x:v>
      </x:c>
      <x:c r="K91" s="44" t="str">
        <x:v>PASS</x:v>
      </x:c>
      <x:c r="L91" s="44" t="n">
        <x:f>SUMIF($A$16:$A$99,A91,$F$16:$F$99)</x:f>
        <x:v>1000</x:v>
      </x:c>
      <x:c r="M91" s="44" t="str">
        <x:v>BENCH CANDIDATE</x:v>
      </x:c>
    </x:row>
    <x:row r="92" ht="37" customHeight="1">
      <x:c r="A92" s="44" t="str">
        <x:v>ACC-LIC-01</x:v>
      </x:c>
      <x:c r="B92" s="44" t="str">
        <x:v>Dark Licorice Accord v0.1</x:v>
      </x:c>
      <x:c r="C92" s="44" t="str">
        <x:v>Coumarin</x:v>
      </x:c>
      <x:c r="D92" s="44" t="str">
        <x:v>20% in DPG</x:v>
      </x:c>
      <x:c r="E92" s="46" t="n">
        <x:v>0.2</x:v>
      </x:c>
      <x:c r="F92" s="48" t="n">
        <x:v>180</x:v>
      </x:c>
      <x:c r="G92" s="48" t="n">
        <x:f>F92</x:f>
        <x:v>180</x:v>
      </x:c>
      <x:c r="H92" s="48" t="n">
        <x:f>F92*10</x:f>
        <x:v>1800</x:v>
      </x:c>
      <x:c r="I92" s="44" t="str">
        <x:v>Dry sweet licorice body</x:v>
      </x:c>
      <x:c r="J92" s="44" t="str">
        <x:v>FUNCTIONAL RECONSTRUCTION HYPOTHESIS</x:v>
      </x:c>
      <x:c r="K92" s="44" t="str">
        <x:v>PASS</x:v>
      </x:c>
      <x:c r="L92" s="44" t="n">
        <x:f>SUMIF($A$16:$A$99,A92,$F$16:$F$99)</x:f>
        <x:v>1000</x:v>
      </x:c>
      <x:c r="M92" s="44" t="str">
        <x:v>BENCH CANDIDATE</x:v>
      </x:c>
    </x:row>
    <x:row r="93" ht="37" customHeight="1">
      <x:c r="A93" s="44" t="str">
        <x:v>ACC-LIC-01</x:v>
      </x:c>
      <x:c r="B93" s="44" t="str">
        <x:v>Dark Licorice Accord v0.1</x:v>
      </x:c>
      <x:c r="C93" s="44" t="str">
        <x:v>Vanillin</x:v>
      </x:c>
      <x:c r="D93" s="44" t="str">
        <x:v>10% working stock</x:v>
      </x:c>
      <x:c r="E93" s="46" t="n">
        <x:v>0.1</x:v>
      </x:c>
      <x:c r="F93" s="48" t="n">
        <x:v>100</x:v>
      </x:c>
      <x:c r="G93" s="48" t="n">
        <x:f>F93</x:f>
        <x:v>100</x:v>
      </x:c>
      <x:c r="H93" s="48" t="n">
        <x:f>F93*10</x:f>
        <x:v>1000</x:v>
      </x:c>
      <x:c r="I93" s="44" t="str">
        <x:v>Sweet balsamic bridge</x:v>
      </x:c>
      <x:c r="J93" s="44" t="str">
        <x:v>FUNCTIONAL RECONSTRUCTION HYPOTHESIS</x:v>
      </x:c>
      <x:c r="K93" s="44" t="str">
        <x:v>PASS</x:v>
      </x:c>
      <x:c r="L93" s="44" t="n">
        <x:f>SUMIF($A$16:$A$99,A93,$F$16:$F$99)</x:f>
        <x:v>1000</x:v>
      </x:c>
      <x:c r="M93" s="44" t="str">
        <x:v>BENCH CANDIDATE</x:v>
      </x:c>
    </x:row>
    <x:row r="94" ht="37" customHeight="1">
      <x:c r="A94" s="44" t="str">
        <x:v>ACC-LIC-01</x:v>
      </x:c>
      <x:c r="B94" s="44" t="str">
        <x:v>Dark Licorice Accord v0.1</x:v>
      </x:c>
      <x:c r="C94" s="44" t="str">
        <x:v>Immortelle Absolute</x:v>
      </x:c>
      <x:c r="D94" s="44" t="str">
        <x:v>10% working stock</x:v>
      </x:c>
      <x:c r="E94" s="46" t="n">
        <x:v>0.1</x:v>
      </x:c>
      <x:c r="F94" s="48" t="n">
        <x:v>80</x:v>
      </x:c>
      <x:c r="G94" s="48" t="n">
        <x:f>F94</x:f>
        <x:v>80</x:v>
      </x:c>
      <x:c r="H94" s="48" t="n">
        <x:f>F94*10</x:f>
        <x:v>800</x:v>
      </x:c>
      <x:c r="I94" s="44" t="str">
        <x:v>Maple/tobacco/licorice depth</x:v>
      </x:c>
      <x:c r="J94" s="44" t="str">
        <x:v>FUNCTIONAL RECONSTRUCTION HYPOTHESIS</x:v>
      </x:c>
      <x:c r="K94" s="44" t="str">
        <x:v>PASS</x:v>
      </x:c>
      <x:c r="L94" s="44" t="n">
        <x:f>SUMIF($A$16:$A$99,A94,$F$16:$F$99)</x:f>
        <x:v>1000</x:v>
      </x:c>
      <x:c r="M94" s="44" t="str">
        <x:v>BENCH CANDIDATE</x:v>
      </x:c>
    </x:row>
    <x:row r="95" ht="37" customHeight="1">
      <x:c r="A95" s="44" t="str">
        <x:v>ACC-LIC-01</x:v>
      </x:c>
      <x:c r="B95" s="44" t="str">
        <x:v>Dark Licorice Accord v0.1</x:v>
      </x:c>
      <x:c r="C95" s="44" t="str">
        <x:v>Siam Benzoin</x:v>
      </x:c>
      <x:c r="D95" s="44" t="str">
        <x:v>50% working stock</x:v>
      </x:c>
      <x:c r="E95" s="46" t="n">
        <x:v>0.5</x:v>
      </x:c>
      <x:c r="F95" s="48" t="n">
        <x:v>60</x:v>
      </x:c>
      <x:c r="G95" s="48" t="n">
        <x:f>F95</x:f>
        <x:v>60</x:v>
      </x:c>
      <x:c r="H95" s="48" t="n">
        <x:f>F95*10</x:f>
        <x:v>600</x:v>
      </x:c>
      <x:c r="I95" s="44" t="str">
        <x:v>Balsamic fixation</x:v>
      </x:c>
      <x:c r="J95" s="44" t="str">
        <x:v>FUNCTIONAL RECONSTRUCTION HYPOTHESIS</x:v>
      </x:c>
      <x:c r="K95" s="44" t="str">
        <x:v>PASS</x:v>
      </x:c>
      <x:c r="L95" s="44" t="n">
        <x:f>SUMIF($A$16:$A$99,A95,$F$16:$F$99)</x:f>
        <x:v>1000</x:v>
      </x:c>
      <x:c r="M95" s="44" t="str">
        <x:v>BENCH CANDIDATE</x:v>
      </x:c>
    </x:row>
    <x:row r="96" ht="37" customHeight="1">
      <x:c r="A96" s="44" t="str">
        <x:v>ACC-LIC-01</x:v>
      </x:c>
      <x:c r="B96" s="44" t="str">
        <x:v>Dark Licorice Accord v0.1</x:v>
      </x:c>
      <x:c r="C96" s="44" t="str">
        <x:v>Guaiacol</x:v>
      </x:c>
      <x:c r="D96" s="44" t="str">
        <x:v>10% working stock</x:v>
      </x:c>
      <x:c r="E96" s="46" t="n">
        <x:v>0.1</x:v>
      </x:c>
      <x:c r="F96" s="48" t="n">
        <x:v>20</x:v>
      </x:c>
      <x:c r="G96" s="48" t="n">
        <x:f>F96</x:f>
        <x:v>20</x:v>
      </x:c>
      <x:c r="H96" s="48" t="n">
        <x:f>F96*10</x:f>
        <x:v>200</x:v>
      </x:c>
      <x:c r="I96" s="44" t="str">
        <x:v>Dark smoky root nuance</x:v>
      </x:c>
      <x:c r="J96" s="44" t="str">
        <x:v>FUNCTIONAL RECONSTRUCTION HYPOTHESIS</x:v>
      </x:c>
      <x:c r="K96" s="44" t="str">
        <x:v>PASS</x:v>
      </x:c>
      <x:c r="L96" s="44" t="n">
        <x:f>SUMIF($A$16:$A$99,A96,$F$16:$F$99)</x:f>
        <x:v>1000</x:v>
      </x:c>
      <x:c r="M96" s="44" t="str">
        <x:v>BENCH CANDIDATE</x:v>
      </x:c>
    </x:row>
    <x:row r="97" ht="37" customHeight="1">
      <x:c r="A97" s="44" t="str">
        <x:v>ACC-LIC-01</x:v>
      </x:c>
      <x:c r="B97" s="44" t="str">
        <x:v>Dark Licorice Accord v0.1</x:v>
      </x:c>
      <x:c r="C97" s="44" t="str">
        <x:v>Black Pepper EO</x:v>
      </x:c>
      <x:c r="D97" s="44" t="str">
        <x:v>neat/as supplied</x:v>
      </x:c>
      <x:c r="E97" s="46" t="n">
        <x:v>1</x:v>
      </x:c>
      <x:c r="F97" s="48" t="n">
        <x:v>10</x:v>
      </x:c>
      <x:c r="G97" s="48" t="n">
        <x:f>F97</x:f>
        <x:v>10</x:v>
      </x:c>
      <x:c r="H97" s="48" t="n">
        <x:f>F97*10</x:f>
        <x:v>100</x:v>
      </x:c>
      <x:c r="I97" s="44" t="str">
        <x:v>Dry spice contrast</x:v>
      </x:c>
      <x:c r="J97" s="44" t="str">
        <x:v>FUNCTIONAL RECONSTRUCTION HYPOTHESIS</x:v>
      </x:c>
      <x:c r="K97" s="44" t="str">
        <x:v>PASS</x:v>
      </x:c>
      <x:c r="L97" s="44" t="n">
        <x:f>SUMIF($A$16:$A$99,A97,$F$16:$F$99)</x:f>
        <x:v>1000</x:v>
      </x:c>
      <x:c r="M97" s="44" t="str">
        <x:v>BENCH CANDIDATE</x:v>
      </x:c>
    </x:row>
    <x:row r="98" ht="37" customHeight="1">
      <x:c r="A98" s="44" t="str">
        <x:v>ACC-LIC-01</x:v>
      </x:c>
      <x:c r="B98" s="44" t="str">
        <x:v>Dark Licorice Accord v0.1</x:v>
      </x:c>
      <x:c r="C98" s="44" t="str">
        <x:v>Cocoa Absolute</x:v>
      </x:c>
      <x:c r="D98" s="44" t="str">
        <x:v>prepare 10% in DPG</x:v>
      </x:c>
      <x:c r="E98" s="46" t="n">
        <x:v>0.1</x:v>
      </x:c>
      <x:c r="F98" s="48" t="n">
        <x:v>20</x:v>
      </x:c>
      <x:c r="G98" s="48" t="n">
        <x:f>F98</x:f>
        <x:v>20</x:v>
      </x:c>
      <x:c r="H98" s="48" t="n">
        <x:f>F98*10</x:f>
        <x:v>200</x:v>
      </x:c>
      <x:c r="I98" s="44" t="str">
        <x:v>Dark bitter contour</x:v>
      </x:c>
      <x:c r="J98" s="44" t="str">
        <x:v>FUNCTIONAL RECONSTRUCTION HYPOTHESIS</x:v>
      </x:c>
      <x:c r="K98" s="44" t="str">
        <x:v>PREPARE / VERIFY EXACT STOCK</x:v>
      </x:c>
      <x:c r="L98" s="44" t="n">
        <x:f>SUMIF($A$16:$A$99,A98,$F$16:$F$99)</x:f>
        <x:v>1000</x:v>
      </x:c>
      <x:c r="M98" s="44" t="str">
        <x:v>BENCH CANDIDATE</x:v>
      </x:c>
    </x:row>
    <x:row r="99" ht="37" customHeight="1">
      <x:c r="A99" s="44" t="str">
        <x:v>ACC-LIC-01</x:v>
      </x:c>
      <x:c r="B99" s="44" t="str">
        <x:v>Dark Licorice Accord v0.1</x:v>
      </x:c>
      <x:c r="C99" s="44" t="str">
        <x:v>Tonka Bean Absolute</x:v>
      </x:c>
      <x:c r="D99" s="44" t="str">
        <x:v>10% working stock</x:v>
      </x:c>
      <x:c r="E99" s="46" t="n">
        <x:v>0.1</x:v>
      </x:c>
      <x:c r="F99" s="48" t="n">
        <x:v>50</x:v>
      </x:c>
      <x:c r="G99" s="48" t="n">
        <x:f>F99</x:f>
        <x:v>50</x:v>
      </x:c>
      <x:c r="H99" s="48" t="n">
        <x:f>F99*10</x:f>
        <x:v>500</x:v>
      </x:c>
      <x:c r="I99" s="44" t="str">
        <x:v>Coumarinic roundness</x:v>
      </x:c>
      <x:c r="J99" s="44" t="str">
        <x:v>FUNCTIONAL RECONSTRUCTION HYPOTHESIS</x:v>
      </x:c>
      <x:c r="K99" s="44" t="str">
        <x:v>PASS</x:v>
      </x:c>
      <x:c r="L99" s="44" t="n">
        <x:f>SUMIF($A$16:$A$99,A99,$F$16:$F$99)</x:f>
        <x:v>1000</x:v>
      </x:c>
      <x:c r="M99" s="44" t="str">
        <x:v>BENCH CANDIDATE</x:v>
      </x:c>
    </x:row>
  </x:sheetData>
  <x:mergeCells>
    <x:mergeCell ref="A1:M1"/>
    <x:mergeCell ref="A2:M3"/>
  </x:mergeCells>
  <x:conditionalFormatting sqref="C6:C12">
    <x:cfRule type="expression" dxfId="26" priority="1">
      <x:formula>ISNUMBER(SEARCH("CONSTRUCTIBLE",C6))</x:formula>
    </x:cfRule>
  </x:conditionalFormatting>
  <x:conditionalFormatting sqref="G6:G12">
    <x:cfRule type="expression" dxfId="27" priority="2">
      <x:formula>ISNUMBER(SEARCH("CANDIDATE",G6))</x:formula>
    </x:cfRule>
  </x:conditionalFormatting>
  <x:conditionalFormatting sqref="K16:K99">
    <x:cfRule type="expression" dxfId="28" priority="3">
      <x:formula>ISNUMBER(SEARCH("PREPARE",K16))</x:formula>
    </x:cfRule>
  </x:conditionalFormatting>
  <x:conditionalFormatting sqref="M16:M99">
    <x:cfRule type="expression" dxfId="29" priority="4">
      <x:formula>ISNUMBER(SEARCH("CANDIDATE",M16))</x:formula>
    </x:cfRule>
  </x:conditionalFormatting>
  <x:conditionalFormatting sqref="L16:L99">
    <x:cfRule type="expression" dxfId="34" priority="5">
      <x:formula>ABS(L16-1000)&lt;0.001</x:formula>
    </x:cfRule>
  </x:conditionalFormatting>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33" hidden="0" customWidth="1"/>
    <x:col min="3" max="3" width="33" hidden="0" customWidth="1"/>
    <x:col min="4" max="4" width="33" hidden="0" customWidth="1"/>
    <x:col min="5" max="5" width="16" hidden="0" customWidth="1"/>
    <x:col min="6" max="6" width="16" hidden="0" customWidth="1"/>
    <x:col min="7" max="7" width="16" hidden="0" customWidth="1"/>
    <x:col min="8" max="8" width="33" hidden="0" customWidth="1"/>
    <x:col min="9" max="9" width="33" hidden="0" customWidth="1"/>
    <x:col min="10" max="10" width="16" hidden="0" customWidth="1"/>
    <x:col min="11" max="11" width="16" hidden="0" customWidth="1"/>
    <x:col min="12" max="12" width="16" hidden="0" customWidth="1"/>
    <x:col min="13" max="13" width="33" hidden="0" customWidth="1"/>
    <x:col min="14" max="14" width="33" hidden="0" customWidth="1"/>
    <x:col min="15" max="15" width="33" hidden="0" customWidth="1"/>
  </x:cols>
  <x:sheetData>
    <x:row r="1" ht="32" customHeight="1">
      <x:c r="A1" s="125" t="str">
        <x:v>sequence</x:v>
      </x:c>
      <x:c r="B1" s="125" t="str">
        <x:v>raw_user_entry</x:v>
      </x:c>
      <x:c r="C1" s="125" t="str">
        <x:v>canonical_inventory_row</x:v>
      </x:c>
      <x:c r="D1" s="125" t="str">
        <x:v>source_row_name_before_update</x:v>
      </x:c>
      <x:c r="E1" s="125" t="str">
        <x:v>action</x:v>
      </x:c>
      <x:c r="F1" s="125" t="str">
        <x:v>prior_status</x:v>
      </x:c>
      <x:c r="G1" s="125" t="str">
        <x:v>new_status</x:v>
      </x:c>
      <x:c r="H1" s="125" t="str">
        <x:v>prior_stock</x:v>
      </x:c>
      <x:c r="I1" s="125" t="str">
        <x:v>new_stock</x:v>
      </x:c>
      <x:c r="J1" s="125" t="str">
        <x:v>stated_active_fraction</x:v>
      </x:c>
      <x:c r="K1" s="125" t="str">
        <x:v>source_basis</x:v>
      </x:c>
      <x:c r="L1" s="125" t="str">
        <x:v>formula_change_authorized</x:v>
      </x:c>
      <x:c r="M1" s="125" t="str">
        <x:v>screen_or_portfolio_effect</x:v>
      </x:c>
      <x:c r="N1" s="125" t="str">
        <x:v>non_equivalence_or_open_detail</x:v>
      </x:c>
      <x:c r="O1" s="125" t="str">
        <x:v>notes</x:v>
      </x:c>
    </x:row>
    <x:row r="2">
      <x:c r="A2" s="92" t="n">
        <x:v>1</x:v>
      </x:c>
      <x:c r="B2" s="92" t="str">
        <x:v>leafovert is neat</x:v>
      </x:c>
      <x:c r="C2" s="92" t="str">
        <x:v>Leafovert</x:v>
      </x:c>
      <x:c r="D2" s="92" t="str">
        <x:v>Leafovert</x:v>
      </x:c>
      <x:c r="E2" s="92" t="str">
        <x:v>UPDATED / RECONFIRMED</x:v>
      </x:c>
      <x:c r="F2" s="92" t="str">
        <x:v>VERIFY</x:v>
      </x:c>
      <x:c r="G2" s="92" t="str">
        <x:v>HAVE — NEAT</x:v>
      </x:c>
      <x:c r="H2" s="92" t="str">
        <x:v>as supplied; verify label</x:v>
      </x:c>
      <x:c r="I2" s="92" t="str">
        <x:v>Leafovert neat/as supplied</x:v>
      </x:c>
      <x:c r="J2" s="92" t="n">
        <x:v>1</x:v>
      </x:c>
      <x:c r="K2" s="92" t="str">
        <x:v>USER CONFIRMATION • 2026-08-07</x:v>
      </x:c>
      <x:c r="L2" s="92" t="str">
        <x:v>NO</x:v>
      </x:c>
      <x:c r="M2" s="92" t="str">
        <x:v>REMOVES 86 LEAFOVERT LABEL HOLDS; NET EFFECT RECALCULATED AGAINST AMBRETTOLIDE</x:v>
      </x:c>
      <x:c r="N2" s="92"/>
      <x:c r="O2" s="92" t="str">
        <x:v>User explicitly confirmed Leafovert is neat on 2026-08-07.</x:v>
      </x:c>
    </x:row>
    <x:row r="3">
      <x:c r="A3" s="92" t="n">
        <x:v>2</x:v>
      </x:c>
      <x:c r="B3" s="92" t="str">
        <x:v>Freesia HDI</x:v>
      </x:c>
      <x:c r="C3" s="92" t="str">
        <x:v>Freesia HDI</x:v>
      </x:c>
      <x:c r="D3" s="92" t="str">
        <x:v>Freesia HDI</x:v>
      </x:c>
      <x:c r="E3" s="92" t="str">
        <x:v>ADDED</x:v>
      </x:c>
      <x:c r="F3" s="92"/>
      <x:c r="G3" s="92" t="str">
        <x:v>HAVE — PRODUCT BASIS / LABEL DETAIL OPEN</x:v>
      </x:c>
      <x:c r="H3" s="92"/>
      <x:c r="I3" s="92" t="str">
        <x:v>Freesia HDI as supplied; exact carrier and composition not stated</x:v>
      </x:c>
      <x:c r="J3" s="92"/>
      <x:c r="K3" s="92" t="str">
        <x:v>USER CONFIRMATION • 2026-08-07</x:v>
      </x:c>
      <x:c r="L3" s="92" t="str">
        <x:v>NO</x:v>
      </x:c>
      <x:c r="M3" s="92" t="str">
        <x:v>NO DIRECT SIX-PILOT COUNT CLAIM</x:v>
      </x:c>
      <x:c r="N3" s="92" t="str">
        <x:v>Opaque named product; do not expand into imagined internal molecules.</x:v>
      </x:c>
      <x:c r="O3" s="92" t="str">
        <x:v>User confirmed ownership on 2026-08-07.</x:v>
      </x:c>
    </x:row>
    <x:row r="4">
      <x:c r="A4" s="92" t="n">
        <x:v>3</x:v>
      </x:c>
      <x:c r="B4" s="92" t="str">
        <x:v>nerolidol</x:v>
      </x:c>
      <x:c r="C4" s="92" t="str">
        <x:v>Nerolidol</x:v>
      </x:c>
      <x:c r="D4" s="92" t="str">
        <x:v>Nerolidol</x:v>
      </x:c>
      <x:c r="E4" s="92" t="str">
        <x:v>UPDATED / RECONFIRMED</x:v>
      </x:c>
      <x:c r="F4" s="92" t="str">
        <x:v>HAVE</x:v>
      </x:c>
      <x:c r="G4" s="92" t="str">
        <x:v>HAVE — NEAT</x:v>
      </x:c>
      <x:c r="H4" s="92" t="str">
        <x:v>neat/as supplied</x:v>
      </x:c>
      <x:c r="I4" s="92" t="str">
        <x:v>Nerolidol neat/as supplied</x:v>
      </x:c>
      <x:c r="J4" s="92" t="n">
        <x:v>1</x:v>
      </x:c>
      <x:c r="K4" s="92" t="str">
        <x:v>USER CONFIRMATION • 2026-08-07</x:v>
      </x:c>
      <x:c r="L4" s="92" t="str">
        <x:v>NO</x:v>
      </x:c>
      <x:c r="M4" s="92" t="str">
        <x:v>NO DIRECT SIX-PILOT COUNT CLAIM</x:v>
      </x:c>
      <x:c r="N4" s="92"/>
      <x:c r="O4" s="92" t="str">
        <x:v>User confirmed ownership on 2026-08-07.</x:v>
      </x:c>
    </x:row>
    <x:row r="5">
      <x:c r="A5" s="92" t="n">
        <x:v>4</x:v>
      </x:c>
      <x:c r="B5" s="92" t="str">
        <x:v>mayol</x:v>
      </x:c>
      <x:c r="C5" s="92" t="str">
        <x:v>Mayol</x:v>
      </x:c>
      <x:c r="D5" s="92" t="str">
        <x:v>Mayol</x:v>
      </x:c>
      <x:c r="E5" s="92" t="str">
        <x:v>UPDATED / RECONFIRMED</x:v>
      </x:c>
      <x:c r="F5" s="92" t="str">
        <x:v>HAVE</x:v>
      </x:c>
      <x:c r="G5" s="92" t="str">
        <x:v>HAVE — NEAT</x:v>
      </x:c>
      <x:c r="H5" s="92" t="str">
        <x:v>neat</x:v>
      </x:c>
      <x:c r="I5" s="92" t="str">
        <x:v>Mayol neat/as supplied</x:v>
      </x:c>
      <x:c r="J5" s="92" t="n">
        <x:v>1</x:v>
      </x:c>
      <x:c r="K5" s="92" t="str">
        <x:v>USER CONFIRMATION • 2026-08-07</x:v>
      </x:c>
      <x:c r="L5" s="92" t="str">
        <x:v>NO</x:v>
      </x:c>
      <x:c r="M5" s="92" t="str">
        <x:v>NO DIRECT SIX-PILOT COUNT CLAIM</x:v>
      </x:c>
      <x:c r="N5" s="92"/>
      <x:c r="O5" s="92" t="str">
        <x:v>User confirmed ownership on 2026-08-07.</x:v>
      </x:c>
    </x:row>
    <x:row r="6">
      <x:c r="A6" s="92" t="n">
        <x:v>5</x:v>
      </x:c>
      <x:c r="B6" s="92" t="str">
        <x:v>lilyreal nd</x:v>
      </x:c>
      <x:c r="C6" s="92" t="str">
        <x:v>Lilyreal ND</x:v>
      </x:c>
      <x:c r="D6" s="92" t="str">
        <x:v>Lilyreal ND</x:v>
      </x:c>
      <x:c r="E6" s="92" t="str">
        <x:v>UPDATED / RECONFIRMED</x:v>
      </x:c>
      <x:c r="F6" s="92" t="str">
        <x:v>HAVE</x:v>
      </x:c>
      <x:c r="G6" s="92" t="str">
        <x:v>HAVE — PRODUCT BASIS</x:v>
      </x:c>
      <x:c r="H6" s="92" t="str">
        <x:v>as supplied; product basis</x:v>
      </x:c>
      <x:c r="I6" s="92" t="str">
        <x:v>Lilyreal ND as supplied; composition not inferred</x:v>
      </x:c>
      <x:c r="J6" s="92"/>
      <x:c r="K6" s="92" t="str">
        <x:v>USER CONFIRMATION • 2026-08-07</x:v>
      </x:c>
      <x:c r="L6" s="92" t="str">
        <x:v>NO</x:v>
      </x:c>
      <x:c r="M6" s="92" t="str">
        <x:v>NO DIRECT SIX-PILOT COUNT CLAIM</x:v>
      </x:c>
      <x:c r="N6" s="92" t="str">
        <x:v>Named replacer/product basis; not treated as Lilial or as a disclosed single molecule.</x:v>
      </x:c>
      <x:c r="O6" s="92" t="str">
        <x:v>User confirmed ownership on 2026-08-07.</x:v>
      </x:c>
    </x:row>
    <x:row r="7">
      <x:c r="A7" s="92" t="n">
        <x:v>6</x:v>
      </x:c>
      <x:c r="B7" s="92" t="str">
        <x:v>helional</x:v>
      </x:c>
      <x:c r="C7" s="92" t="str">
        <x:v>Helional 10%</x:v>
      </x:c>
      <x:c r="D7" s="92" t="str">
        <x:v>Helional 10%</x:v>
      </x:c>
      <x:c r="E7" s="92" t="str">
        <x:v>UPDATED / RECONFIRMED</x:v>
      </x:c>
      <x:c r="F7" s="92" t="str">
        <x:v>HAVE — NEAT + 10%</x:v>
      </x:c>
      <x:c r="G7" s="92" t="str">
        <x:v>HAVE — NEAT + 10% V/V</x:v>
      </x:c>
      <x:c r="H7" s="92" t="str">
        <x:v>Helional neat and 10% working dilution</x:v>
      </x:c>
      <x:c r="I7" s="92" t="str">
        <x:v>Helional neat/as supplied; Helional 10% v/v stock (carrier not stated)</x:v>
      </x:c>
      <x:c r="J7" s="92" t="n">
        <x:v>0.1</x:v>
      </x:c>
      <x:c r="K7" s="92" t="str">
        <x:v>USER CONFIRMATION • 2026-08-07</x:v>
      </x:c>
      <x:c r="L7" s="92" t="str">
        <x:v>NO</x:v>
      </x:c>
      <x:c r="M7" s="92" t="str">
        <x:v>NO DIRECT SIX-PILOT COUNT CLAIM</x:v>
      </x:c>
      <x:c r="N7" s="92"/>
      <x:c r="O7" s="92" t="str">
        <x:v>User confirmed ownership on 2026-08-07.</x:v>
      </x:c>
    </x:row>
    <x:row r="8">
      <x:c r="A8" s="92" t="n">
        <x:v>7</x:v>
      </x:c>
      <x:c r="B8" s="92" t="str">
        <x:v>helional 10% v/v</x:v>
      </x:c>
      <x:c r="C8" s="92" t="str">
        <x:v>Helional 10%</x:v>
      </x:c>
      <x:c r="D8" s="92" t="str">
        <x:v>Helional 10%</x:v>
      </x:c>
      <x:c r="E8" s="92" t="str">
        <x:v>UPDATED / RECONFIRMED</x:v>
      </x:c>
      <x:c r="F8" s="92" t="str">
        <x:v>HAVE — NEAT + 10%</x:v>
      </x:c>
      <x:c r="G8" s="92" t="str">
        <x:v>HAVE — NEAT + 10% V/V</x:v>
      </x:c>
      <x:c r="H8" s="92" t="str">
        <x:v>Helional neat and 10% working dilution</x:v>
      </x:c>
      <x:c r="I8" s="92" t="str">
        <x:v>Helional neat/as supplied; Helional 10% v/v stock (carrier not stated)</x:v>
      </x:c>
      <x:c r="J8" s="92" t="n">
        <x:v>0.1</x:v>
      </x:c>
      <x:c r="K8" s="92" t="str">
        <x:v>USER CONFIRMATION • 2026-08-07</x:v>
      </x:c>
      <x:c r="L8" s="92" t="str">
        <x:v>NO</x:v>
      </x:c>
      <x:c r="M8" s="92" t="str">
        <x:v>NO DIRECT SIX-PILOT COUNT CLAIM</x:v>
      </x:c>
      <x:c r="N8" s="92"/>
      <x:c r="O8" s="92" t="str">
        <x:v>Second user mention confirms the separate 10% v/v Helional stock.</x:v>
      </x:c>
    </x:row>
    <x:row r="9">
      <x:c r="A9" s="92" t="n">
        <x:v>8</x:v>
      </x:c>
      <x:c r="B9" s="92" t="str">
        <x:v>cyclamen aldehyde</x:v>
      </x:c>
      <x:c r="C9" s="92" t="str">
        <x:v>Cyclamen Aldehyde 10%</x:v>
      </x:c>
      <x:c r="D9" s="92" t="str">
        <x:v>Cyclamen Aldehyde 10%</x:v>
      </x:c>
      <x:c r="E9" s="92" t="str">
        <x:v>UPDATED / RECONFIRMED</x:v>
      </x:c>
      <x:c r="F9" s="92" t="str">
        <x:v>HAVE — NEAT + 10%</x:v>
      </x:c>
      <x:c r="G9" s="92" t="str">
        <x:v>HAVE — NEAT + 10%</x:v>
      </x:c>
      <x:c r="H9" s="92" t="str">
        <x:v>Cyclamen Aldehyde neat and 10% working dilution</x:v>
      </x:c>
      <x:c r="I9" s="92" t="str">
        <x:v>Cyclamen Aldehyde neat/as supplied; 10% working stock (carrier not restated)</x:v>
      </x:c>
      <x:c r="J9" s="92" t="n">
        <x:v>0.1</x:v>
      </x:c>
      <x:c r="K9" s="92" t="str">
        <x:v>USER CONFIRMATION • 2026-08-07</x:v>
      </x:c>
      <x:c r="L9" s="92" t="str">
        <x:v>NO</x:v>
      </x:c>
      <x:c r="M9" s="92" t="str">
        <x:v>NO DIRECT SIX-PILOT COUNT CLAIM</x:v>
      </x:c>
      <x:c r="N9" s="92"/>
      <x:c r="O9" s="92" t="str">
        <x:v>User confirmed ownership on 2026-08-07.</x:v>
      </x:c>
    </x:row>
    <x:row r="10">
      <x:c r="A10" s="92" t="n">
        <x:v>9</x:v>
      </x:c>
      <x:c r="B10" s="92" t="str">
        <x:v>dimethyl benzyl carbonyl acetate</x:v>
      </x:c>
      <x:c r="C10" s="92" t="str">
        <x:v>Dimethyl Benzyl Carbonyl Acetate</x:v>
      </x:c>
      <x:c r="D10" s="92" t="str">
        <x:v>Dimethyl Benzyl Carbonyl Acetate</x:v>
      </x:c>
      <x:c r="E10" s="92" t="str">
        <x:v>ADDED</x:v>
      </x:c>
      <x:c r="F10" s="92"/>
      <x:c r="G10" s="92" t="str">
        <x:v>HAVE — NEAT / AS SUPPLIED</x:v>
      </x:c>
      <x:c r="H10" s="92"/>
      <x:c r="I10" s="92" t="str">
        <x:v>Dimethyl Benzyl Carbonyl Acetate neat/as supplied</x:v>
      </x:c>
      <x:c r="J10" s="92" t="n">
        <x:v>1</x:v>
      </x:c>
      <x:c r="K10" s="92" t="str">
        <x:v>USER CONFIRMATION • 2026-08-07</x:v>
      </x:c>
      <x:c r="L10" s="92" t="str">
        <x:v>NO</x:v>
      </x:c>
      <x:c r="M10" s="92" t="str">
        <x:v>NO DIRECT SIX-PILOT COUNT CLAIM</x:v>
      </x:c>
      <x:c r="N10" s="92"/>
      <x:c r="O10" s="92" t="str">
        <x:v>User confirmed ownership on 2026-08-07.</x:v>
      </x:c>
    </x:row>
    <x:row r="11">
      <x:c r="A11" s="92" t="n">
        <x:v>10</x:v>
      </x:c>
      <x:c r="B11" s="92" t="str">
        <x:v>Farnesol</x:v>
      </x:c>
      <x:c r="C11" s="92" t="str">
        <x:v>Farnesol</x:v>
      </x:c>
      <x:c r="D11" s="92" t="str">
        <x:v>Farnesol</x:v>
      </x:c>
      <x:c r="E11" s="92" t="str">
        <x:v>UPDATED / RECONFIRMED</x:v>
      </x:c>
      <x:c r="F11" s="92" t="str">
        <x:v>HAVE</x:v>
      </x:c>
      <x:c r="G11" s="92" t="str">
        <x:v>HAVE — NEAT</x:v>
      </x:c>
      <x:c r="H11" s="92" t="str">
        <x:v>neat / as supplied</x:v>
      </x:c>
      <x:c r="I11" s="92" t="str">
        <x:v>Farnesol neat/as supplied</x:v>
      </x:c>
      <x:c r="J11" s="92" t="n">
        <x:v>1</x:v>
      </x:c>
      <x:c r="K11" s="92" t="str">
        <x:v>USER CONFIRMATION • 2026-08-07</x:v>
      </x:c>
      <x:c r="L11" s="92" t="str">
        <x:v>NO</x:v>
      </x:c>
      <x:c r="M11" s="92" t="str">
        <x:v>NO DIRECT SIX-PILOT COUNT CLAIM</x:v>
      </x:c>
      <x:c r="N11" s="92"/>
      <x:c r="O11" s="92" t="str">
        <x:v>User confirmed ownership on 2026-08-07.</x:v>
      </x:c>
    </x:row>
    <x:row r="12">
      <x:c r="A12" s="92" t="n">
        <x:v>11</x:v>
      </x:c>
      <x:c r="B12" s="92" t="str">
        <x:v>methyl nonyl ketone</x:v>
      </x:c>
      <x:c r="C12" s="92" t="str">
        <x:v>Methyl Nonyl Ketone</x:v>
      </x:c>
      <x:c r="D12" s="92" t="str">
        <x:v>Methyl Nonyl Ketone</x:v>
      </x:c>
      <x:c r="E12" s="92" t="str">
        <x:v>UPDATED / RECONFIRMED</x:v>
      </x:c>
      <x:c r="F12" s="92" t="str">
        <x:v>HAVE</x:v>
      </x:c>
      <x:c r="G12" s="92" t="str">
        <x:v>HAVE — NEAT + 1%</x:v>
      </x:c>
      <x:c r="H12" s="92" t="str">
        <x:v>neat / as supplied</x:v>
      </x:c>
      <x:c r="I12" s="92" t="str">
        <x:v>Methyl Nonyl Ketone neat/as supplied; 1% working stock</x:v>
      </x:c>
      <x:c r="J12" s="92" t="n">
        <x:v>1</x:v>
      </x:c>
      <x:c r="K12" s="92" t="str">
        <x:v>USER CONFIRMATION • 2026-08-07</x:v>
      </x:c>
      <x:c r="L12" s="92" t="str">
        <x:v>NO</x:v>
      </x:c>
      <x:c r="M12" s="92" t="str">
        <x:v>NO DIRECT SIX-PILOT COUNT CLAIM</x:v>
      </x:c>
      <x:c r="N12" s="92"/>
      <x:c r="O12" s="92" t="str">
        <x:v>User confirmed ownership on 2026-08-07.</x:v>
      </x:c>
    </x:row>
    <x:row r="13">
      <x:c r="A13" s="92" t="n">
        <x:v>12</x:v>
      </x:c>
      <x:c r="B13" s="92" t="str">
        <x:v>elemi eo</x:v>
      </x:c>
      <x:c r="C13" s="92" t="str">
        <x:v>Elemi EO</x:v>
      </x:c>
      <x:c r="D13" s="92" t="str">
        <x:v>Elemi EO</x:v>
      </x:c>
      <x:c r="E13" s="92" t="str">
        <x:v>UPDATED / RECONFIRMED</x:v>
      </x:c>
      <x:c r="F13" s="92" t="str">
        <x:v>HAVE</x:v>
      </x:c>
      <x:c r="G13" s="92" t="str">
        <x:v>HAVE — NEAT / LOT DETAIL OPEN</x:v>
      </x:c>
      <x:c r="H13" s="92" t="str">
        <x:v>Elemi EO neat</x:v>
      </x:c>
      <x:c r="I13" s="92" t="str">
        <x:v>Elemi EO neat/as supplied; supplier, origin and lot not yet recorded</x:v>
      </x:c>
      <x:c r="J13" s="92" t="n">
        <x:v>1</x:v>
      </x:c>
      <x:c r="K13" s="92" t="str">
        <x:v>USER CONFIRMATION • 2026-08-07</x:v>
      </x:c>
      <x:c r="L13" s="92" t="str">
        <x:v>NO</x:v>
      </x:c>
      <x:c r="M13" s="92" t="str">
        <x:v>NO DIRECT SIX-PILOT COUNT CLAIM</x:v>
      </x:c>
      <x:c r="N13" s="92"/>
      <x:c r="O13" s="92" t="str">
        <x:v>User confirmed ownership on 2026-08-07.</x:v>
      </x:c>
    </x:row>
    <x:row r="14">
      <x:c r="A14" s="92" t="n">
        <x:v>13</x:v>
      </x:c>
      <x:c r="B14" s="92" t="str">
        <x:v>stralyl acetate</x:v>
      </x:c>
      <x:c r="C14" s="92" t="str">
        <x:v>Styralyl Acetate</x:v>
      </x:c>
      <x:c r="D14" s="92" t="str">
        <x:v>Styralyl Acetate</x:v>
      </x:c>
      <x:c r="E14" s="92" t="str">
        <x:v>UPDATED / RECONFIRMED</x:v>
      </x:c>
      <x:c r="F14" s="92" t="str">
        <x:v>HAVE</x:v>
      </x:c>
      <x:c r="G14" s="92" t="str">
        <x:v>HAVE — NEAT</x:v>
      </x:c>
      <x:c r="H14" s="92" t="str">
        <x:v>neat/as supplied</x:v>
      </x:c>
      <x:c r="I14" s="92" t="str">
        <x:v>Styralyl Acetate neat/as supplied</x:v>
      </x:c>
      <x:c r="J14" s="92" t="n">
        <x:v>1</x:v>
      </x:c>
      <x:c r="K14" s="92" t="str">
        <x:v>USER CONFIRMATION • 2026-08-07</x:v>
      </x:c>
      <x:c r="L14" s="92" t="str">
        <x:v>NO</x:v>
      </x:c>
      <x:c r="M14" s="92" t="str">
        <x:v>NO DIRECT SIX-PILOT COUNT CLAIM</x:v>
      </x:c>
      <x:c r="N14" s="92" t="str">
        <x:v>User spelling “stralyl acetate” normalized to Styralyl Acetate.</x:v>
      </x:c>
      <x:c r="O14" s="92" t="str">
        <x:v>User confirmed ownership on 2026-08-07.</x:v>
      </x:c>
    </x:row>
    <x:row r="15">
      <x:c r="A15" s="92" t="n">
        <x:v>14</x:v>
      </x:c>
      <x:c r="B15" s="92" t="str">
        <x:v>terpinyl acetate</x:v>
      </x:c>
      <x:c r="C15" s="92" t="str">
        <x:v>Terpinyl Acetate</x:v>
      </x:c>
      <x:c r="D15" s="92" t="str">
        <x:v>Terpenyl Acetate</x:v>
      </x:c>
      <x:c r="E15" s="92" t="str">
        <x:v>UPDATED / RECONFIRMED</x:v>
      </x:c>
      <x:c r="F15" s="92" t="str">
        <x:v>HAVE</x:v>
      </x:c>
      <x:c r="G15" s="92" t="str">
        <x:v>HAVE — NEAT</x:v>
      </x:c>
      <x:c r="H15" s="92" t="str">
        <x:v>neat/as supplied</x:v>
      </x:c>
      <x:c r="I15" s="92" t="str">
        <x:v>Terpinyl Acetate neat/as supplied</x:v>
      </x:c>
      <x:c r="J15" s="92" t="n">
        <x:v>1</x:v>
      </x:c>
      <x:c r="K15" s="92" t="str">
        <x:v>USER CONFIRMATION • 2026-08-07</x:v>
      </x:c>
      <x:c r="L15" s="92" t="str">
        <x:v>NO</x:v>
      </x:c>
      <x:c r="M15" s="92" t="str">
        <x:v>NO DIRECT SIX-PILOT COUNT CLAIM</x:v>
      </x:c>
      <x:c r="N15" s="92" t="str">
        <x:v>Legacy inventory spelling “Terpenyl Acetate” normalized to Terpinyl Acetate.</x:v>
      </x:c>
      <x:c r="O15" s="92" t="str">
        <x:v>User confirmed ownership on 2026-08-07.</x:v>
      </x:c>
    </x:row>
    <x:row r="16">
      <x:c r="A16" s="92" t="n">
        <x:v>15</x:v>
      </x:c>
      <x:c r="B16" s="92" t="str">
        <x:v>lemonile</x:v>
      </x:c>
      <x:c r="C16" s="92" t="str">
        <x:v>Lemonile</x:v>
      </x:c>
      <x:c r="D16" s="92" t="str">
        <x:v>Lemonile</x:v>
      </x:c>
      <x:c r="E16" s="92" t="str">
        <x:v>ADDED</x:v>
      </x:c>
      <x:c r="F16" s="92"/>
      <x:c r="G16" s="92" t="str">
        <x:v>HAVE — NEAT / AS SUPPLIED</x:v>
      </x:c>
      <x:c r="H16" s="92"/>
      <x:c r="I16" s="92" t="str">
        <x:v>Lemonile neat/as supplied</x:v>
      </x:c>
      <x:c r="J16" s="92" t="n">
        <x:v>1</x:v>
      </x:c>
      <x:c r="K16" s="92" t="str">
        <x:v>USER CONFIRMATION • 2026-08-07</x:v>
      </x:c>
      <x:c r="L16" s="92" t="str">
        <x:v>NO</x:v>
      </x:c>
      <x:c r="M16" s="92" t="str">
        <x:v>NO DIRECT SIX-PILOT COUNT CLAIM</x:v>
      </x:c>
      <x:c r="N16" s="92"/>
      <x:c r="O16" s="92" t="str">
        <x:v>User confirmed ownership on 2026-08-07.</x:v>
      </x:c>
    </x:row>
    <x:row r="17">
      <x:c r="A17" s="92" t="n">
        <x:v>16</x:v>
      </x:c>
      <x:c r="B17" s="92" t="str">
        <x:v>methyl pamplemousse 10%</x:v>
      </x:c>
      <x:c r="C17" s="92" t="str">
        <x:v>Methyl Pamplemousse 10%</x:v>
      </x:c>
      <x:c r="D17" s="92" t="str">
        <x:v>Methyl Pamplemousse 10%</x:v>
      </x:c>
      <x:c r="E17" s="92" t="str">
        <x:v>ADDED</x:v>
      </x:c>
      <x:c r="F17" s="92"/>
      <x:c r="G17" s="92" t="str">
        <x:v>HAVE — 10% / CARRIER UNSTATED</x:v>
      </x:c>
      <x:c r="H17" s="92"/>
      <x:c r="I17" s="92" t="str">
        <x:v>Methyl Pamplemousse 10%; carrier not stated</x:v>
      </x:c>
      <x:c r="J17" s="92" t="n">
        <x:v>0.1</x:v>
      </x:c>
      <x:c r="K17" s="92" t="str">
        <x:v>USER CONFIRMATION • 2026-08-07</x:v>
      </x:c>
      <x:c r="L17" s="92" t="str">
        <x:v>NO</x:v>
      </x:c>
      <x:c r="M17" s="92" t="str">
        <x:v>NO DIRECT SIX-PILOT COUNT CLAIM</x:v>
      </x:c>
      <x:c r="N17" s="92"/>
      <x:c r="O17" s="92" t="str">
        <x:v>User confirmed ownership on 2026-08-07.</x:v>
      </x:c>
    </x:row>
    <x:row r="18">
      <x:c r="A18" s="92" t="n">
        <x:v>17</x:v>
      </x:c>
      <x:c r="B18" s="92" t="str">
        <x:v>pamzest</x:v>
      </x:c>
      <x:c r="C18" s="92" t="str">
        <x:v>Pamzest</x:v>
      </x:c>
      <x:c r="D18" s="92" t="str">
        <x:v>Pamzest</x:v>
      </x:c>
      <x:c r="E18" s="92" t="str">
        <x:v>ADDED</x:v>
      </x:c>
      <x:c r="F18" s="92"/>
      <x:c r="G18" s="92" t="str">
        <x:v>HAVE — PRODUCT BASIS / LABEL DETAIL OPEN</x:v>
      </x:c>
      <x:c r="H18" s="92"/>
      <x:c r="I18" s="92" t="str">
        <x:v>Pamzest as supplied; exact composition and carrier not stated</x:v>
      </x:c>
      <x:c r="J18" s="92"/>
      <x:c r="K18" s="92" t="str">
        <x:v>USER CONFIRMATION • 2026-08-07</x:v>
      </x:c>
      <x:c r="L18" s="92" t="str">
        <x:v>NO</x:v>
      </x:c>
      <x:c r="M18" s="92" t="str">
        <x:v>NO DIRECT SIX-PILOT COUNT CLAIM</x:v>
      </x:c>
      <x:c r="N18" s="92" t="str">
        <x:v>Opaque specialty product; not treated as a disclosed single grapefruit molecule.</x:v>
      </x:c>
      <x:c r="O18" s="92" t="str">
        <x:v>User confirmed ownership on 2026-08-07.</x:v>
      </x:c>
    </x:row>
    <x:row r="19">
      <x:c r="A19" s="92" t="n">
        <x:v>18</x:v>
      </x:c>
      <x:c r="B19" s="92" t="str">
        <x:v>lime distilled essential oil</x:v>
      </x:c>
      <x:c r="C19" s="92" t="str">
        <x:v>Lime Distilled EO</x:v>
      </x:c>
      <x:c r="D19" s="92" t="str">
        <x:v>Lime Distilled EO</x:v>
      </x:c>
      <x:c r="E19" s="92" t="str">
        <x:v>UPDATED / RECONFIRMED</x:v>
      </x:c>
      <x:c r="F19" s="92" t="str">
        <x:v>HAVE</x:v>
      </x:c>
      <x:c r="G19" s="92" t="str">
        <x:v>HAVE — NEAT / LOT DETAIL OPEN</x:v>
      </x:c>
      <x:c r="H19" s="92" t="str">
        <x:v>neat / as supplied</x:v>
      </x:c>
      <x:c r="I19" s="92" t="str">
        <x:v>Lime Distilled EO neat/as supplied; supplier and lot not yet recorded</x:v>
      </x:c>
      <x:c r="J19" s="92" t="n">
        <x:v>1</x:v>
      </x:c>
      <x:c r="K19" s="92" t="str">
        <x:v>USER CONFIRMATION • 2026-08-07</x:v>
      </x:c>
      <x:c r="L19" s="92" t="str">
        <x:v>NO</x:v>
      </x:c>
      <x:c r="M19" s="92" t="str">
        <x:v>NO DIRECT SIX-PILOT COUNT CLAIM</x:v>
      </x:c>
      <x:c r="N19" s="92"/>
      <x:c r="O19" s="92" t="str">
        <x:v>User confirmed ownership on 2026-08-07.</x:v>
      </x:c>
    </x:row>
    <x:row r="20">
      <x:c r="A20" s="92" t="n">
        <x:v>19</x:v>
      </x:c>
      <x:c r="B20" s="92" t="str">
        <x:v>paradisamide</x:v>
      </x:c>
      <x:c r="C20" s="92" t="str">
        <x:v>Paradisamide</x:v>
      </x:c>
      <x:c r="D20" s="92" t="str">
        <x:v>Paradisamide</x:v>
      </x:c>
      <x:c r="E20" s="92" t="str">
        <x:v>ADDED</x:v>
      </x:c>
      <x:c r="F20" s="92"/>
      <x:c r="G20" s="92" t="str">
        <x:v>HAVE — NEAT / AS SUPPLIED</x:v>
      </x:c>
      <x:c r="H20" s="92"/>
      <x:c r="I20" s="92" t="str">
        <x:v>Paradisamide neat/as supplied</x:v>
      </x:c>
      <x:c r="J20" s="92" t="n">
        <x:v>1</x:v>
      </x:c>
      <x:c r="K20" s="92" t="str">
        <x:v>USER CONFIRMATION • 2026-08-07</x:v>
      </x:c>
      <x:c r="L20" s="92" t="str">
        <x:v>NO</x:v>
      </x:c>
      <x:c r="M20" s="92" t="str">
        <x:v>NO DIRECT SIX-PILOT COUNT CLAIM</x:v>
      </x:c>
      <x:c r="N20" s="92"/>
      <x:c r="O20" s="92" t="str">
        <x:v>User confirmed ownership on 2026-08-07.</x:v>
      </x:c>
    </x:row>
    <x:row r="21">
      <x:c r="A21" s="92" t="n">
        <x:v>20</x:v>
      </x:c>
      <x:c r="B21" s="92" t="str">
        <x:v>nerol</x:v>
      </x:c>
      <x:c r="C21" s="92" t="str">
        <x:v>Nerol</x:v>
      </x:c>
      <x:c r="D21" s="92" t="str">
        <x:v>Nerol</x:v>
      </x:c>
      <x:c r="E21" s="92" t="str">
        <x:v>UPDATED / RECONFIRMED</x:v>
      </x:c>
      <x:c r="F21" s="92" t="str">
        <x:v>HAVE</x:v>
      </x:c>
      <x:c r="G21" s="92" t="str">
        <x:v>HAVE — NEAT</x:v>
      </x:c>
      <x:c r="H21" s="92" t="str">
        <x:v>neat/as supplied</x:v>
      </x:c>
      <x:c r="I21" s="92" t="str">
        <x:v>Nerol neat/as supplied</x:v>
      </x:c>
      <x:c r="J21" s="92" t="n">
        <x:v>1</x:v>
      </x:c>
      <x:c r="K21" s="92" t="str">
        <x:v>USER CONFIRMATION • 2026-08-07</x:v>
      </x:c>
      <x:c r="L21" s="92" t="str">
        <x:v>NO</x:v>
      </x:c>
      <x:c r="M21" s="92" t="str">
        <x:v>NO DIRECT SIX-PILOT COUNT CLAIM</x:v>
      </x:c>
      <x:c r="N21" s="92"/>
      <x:c r="O21" s="92" t="str">
        <x:v>User confirmed ownership on 2026-08-07.</x:v>
      </x:c>
    </x:row>
    <x:row r="22">
      <x:c r="A22" s="92" t="n">
        <x:v>21</x:v>
      </x:c>
      <x:c r="B22" s="92" t="str">
        <x:v>melonal</x:v>
      </x:c>
      <x:c r="C22" s="92" t="str">
        <x:v>Melonal</x:v>
      </x:c>
      <x:c r="D22" s="92" t="str">
        <x:v>Melonal</x:v>
      </x:c>
      <x:c r="E22" s="92" t="str">
        <x:v>UPDATED / RECONFIRMED</x:v>
      </x:c>
      <x:c r="F22" s="92" t="str">
        <x:v>HAVE</x:v>
      </x:c>
      <x:c r="G22" s="92" t="str">
        <x:v>HAVE — NEAT</x:v>
      </x:c>
      <x:c r="H22" s="92" t="str">
        <x:v>neat/as supplied</x:v>
      </x:c>
      <x:c r="I22" s="92" t="str">
        <x:v>Melonal neat/as supplied</x:v>
      </x:c>
      <x:c r="J22" s="92" t="n">
        <x:v>1</x:v>
      </x:c>
      <x:c r="K22" s="92" t="str">
        <x:v>USER CONFIRMATION • 2026-08-07</x:v>
      </x:c>
      <x:c r="L22" s="92" t="str">
        <x:v>NO</x:v>
      </x:c>
      <x:c r="M22" s="92" t="str">
        <x:v>NO DIRECT SIX-PILOT COUNT CLAIM</x:v>
      </x:c>
      <x:c r="N22" s="92"/>
      <x:c r="O22" s="92" t="str">
        <x:v>User confirmed ownership on 2026-08-07.</x:v>
      </x:c>
    </x:row>
    <x:row r="23">
      <x:c r="A23" s="92" t="n">
        <x:v>22</x:v>
      </x:c>
      <x:c r="B23" s="92" t="str">
        <x:v>sandalwood base x3</x:v>
      </x:c>
      <x:c r="C23" s="92" t="str">
        <x:v>Sandalwood Base X3</x:v>
      </x:c>
      <x:c r="D23" s="92" t="str">
        <x:v>Sandalwood Base X3</x:v>
      </x:c>
      <x:c r="E23" s="92" t="str">
        <x:v>UPDATED / RECONFIRMED</x:v>
      </x:c>
      <x:c r="F23" s="92" t="str">
        <x:v>HAVE — PRODUCT BASIS</x:v>
      </x:c>
      <x:c r="G23" s="92" t="str">
        <x:v>HAVE — PRODUCT BASIS</x:v>
      </x:c>
      <x:c r="H23" s="92" t="str">
        <x:v>Sandalwood Base X3 as supplied; PerfumersWorld specialty mixture</x:v>
      </x:c>
      <x:c r="I23" s="92" t="str">
        <x:v>Sandalwood Base X3 as supplied</x:v>
      </x:c>
      <x:c r="J23" s="92"/>
      <x:c r="K23" s="92" t="str">
        <x:v>USER CONFIRMATION • 2026-08-07</x:v>
      </x:c>
      <x:c r="L23" s="92" t="str">
        <x:v>NO</x:v>
      </x:c>
      <x:c r="M23" s="92" t="str">
        <x:v>NO DIRECT SIX-PILOT COUNT CLAIM</x:v>
      </x:c>
      <x:c r="N23" s="92" t="str">
        <x:v>Opaque sandalwood base; composition not expanded.</x:v>
      </x:c>
      <x:c r="O23" s="92" t="str">
        <x:v>User confirmed ownership on 2026-08-07.</x:v>
      </x:c>
    </x:row>
    <x:row r="24">
      <x:c r="A24" s="92" t="n">
        <x:v>23</x:v>
      </x:c>
      <x:c r="B24" s="92" t="str">
        <x:v>sandalwood EO in 10% DPG</x:v>
      </x:c>
      <x:c r="C24" s="92" t="str">
        <x:v>Sandalwood EO</x:v>
      </x:c>
      <x:c r="D24" s="92" t="str">
        <x:v>Sandalwood EO</x:v>
      </x:c>
      <x:c r="E24" s="92" t="str">
        <x:v>UPDATED / RECONFIRMED</x:v>
      </x:c>
      <x:c r="F24" s="92" t="str">
        <x:v>HAVE — 10% ONLY</x:v>
      </x:c>
      <x:c r="G24" s="92" t="str">
        <x:v>HAVE — 10% IN DPG ONLY</x:v>
      </x:c>
      <x:c r="H24" s="92" t="str">
        <x:v>Sandalwood EO 10% in DPG</x:v>
      </x:c>
      <x:c r="I24" s="92" t="str">
        <x:v>Sandalwood EO 10% in DPG</x:v>
      </x:c>
      <x:c r="J24" s="92" t="n">
        <x:v>0.1</x:v>
      </x:c>
      <x:c r="K24" s="92" t="str">
        <x:v>USER CONFIRMATION • 2026-08-07</x:v>
      </x:c>
      <x:c r="L24" s="92" t="str">
        <x:v>NO</x:v>
      </x:c>
      <x:c r="M24" s="92" t="str">
        <x:v>NO DIRECT SIX-PILOT COUNT CLAIM</x:v>
      </x:c>
      <x:c r="N24" s="92"/>
      <x:c r="O24" s="92" t="str">
        <x:v>User confirmed ownership on 2026-08-07.</x:v>
      </x:c>
    </x:row>
    <x:row r="25">
      <x:c r="A25" s="92" t="n">
        <x:v>24</x:v>
      </x:c>
      <x:c r="B25" s="92" t="str">
        <x:v>heliotropin</x:v>
      </x:c>
      <x:c r="C25" s="92" t="str">
        <x:v>Heliotropin</x:v>
      </x:c>
      <x:c r="D25" s="92" t="str">
        <x:v>Heliotropin</x:v>
      </x:c>
      <x:c r="E25" s="92" t="str">
        <x:v>ADDED</x:v>
      </x:c>
      <x:c r="F25" s="92"/>
      <x:c r="G25" s="92" t="str">
        <x:v>HAVE — AS SUPPLIED / PHYSICAL FORM OPEN</x:v>
      </x:c>
      <x:c r="H25" s="92"/>
      <x:c r="I25" s="92" t="str">
        <x:v>Heliotropin as supplied; exact physical form and carrier not stated</x:v>
      </x:c>
      <x:c r="J25" s="92" t="n">
        <x:v>1</x:v>
      </x:c>
      <x:c r="K25" s="92" t="str">
        <x:v>USER CONFIRMATION • 2026-08-07</x:v>
      </x:c>
      <x:c r="L25" s="92" t="str">
        <x:v>NO</x:v>
      </x:c>
      <x:c r="M25" s="92" t="str">
        <x:v>NO DIRECT SIX-PILOT COUNT CLAIM</x:v>
      </x:c>
      <x:c r="N25" s="92" t="str">
        <x:v>Keep separate from Heliotropal; similar naming does not establish identity or stock equivalence.</x:v>
      </x:c>
      <x:c r="O25" s="92" t="str">
        <x:v>User confirmed ownership on 2026-08-07.</x:v>
      </x:c>
    </x:row>
    <x:row r="26">
      <x:c r="A26" s="92" t="n">
        <x:v>25</x:v>
      </x:c>
      <x:c r="B26" s="92" t="str">
        <x:v>guaiacol</x:v>
      </x:c>
      <x:c r="C26" s="92" t="str">
        <x:v>Guaiacol 10%</x:v>
      </x:c>
      <x:c r="D26" s="92" t="str">
        <x:v>Guaiacol 10%</x:v>
      </x:c>
      <x:c r="E26" s="92" t="str">
        <x:v>UPDATED / RECONFIRMED</x:v>
      </x:c>
      <x:c r="F26" s="92" t="str">
        <x:v>HAVE — NEAT + 10%</x:v>
      </x:c>
      <x:c r="G26" s="92" t="str">
        <x:v>HAVE — NEAT + 10%</x:v>
      </x:c>
      <x:c r="H26" s="92" t="str">
        <x:v>Guaiacol neat and 10% working dilution</x:v>
      </x:c>
      <x:c r="I26" s="92" t="str">
        <x:v>Guaiacol neat/as supplied; Guaiacol 10% working stock</x:v>
      </x:c>
      <x:c r="J26" s="92" t="n">
        <x:v>0.1</x:v>
      </x:c>
      <x:c r="K26" s="92" t="str">
        <x:v>USER CONFIRMATION • 2026-08-07</x:v>
      </x:c>
      <x:c r="L26" s="92" t="str">
        <x:v>NO</x:v>
      </x:c>
      <x:c r="M26" s="92" t="str">
        <x:v>NO DIRECT SIX-PILOT COUNT CLAIM</x:v>
      </x:c>
      <x:c r="N26" s="92"/>
      <x:c r="O26" s="92" t="str">
        <x:v>User confirmed ownership on 2026-08-07.</x:v>
      </x:c>
    </x:row>
    <x:row r="27">
      <x:c r="A27" s="92" t="n">
        <x:v>26</x:v>
      </x:c>
      <x:c r="B27" s="92" t="str">
        <x:v>kephalis</x:v>
      </x:c>
      <x:c r="C27" s="92" t="str">
        <x:v>Kephalis</x:v>
      </x:c>
      <x:c r="D27" s="92" t="str">
        <x:v>Kephalis</x:v>
      </x:c>
      <x:c r="E27" s="92" t="str">
        <x:v>UPDATED / RECONFIRMED</x:v>
      </x:c>
      <x:c r="F27" s="92" t="str">
        <x:v>HAVE</x:v>
      </x:c>
      <x:c r="G27" s="92" t="str">
        <x:v>HAVE — NEAT / AS SUPPLIED</x:v>
      </x:c>
      <x:c r="H27" s="92" t="str">
        <x:v>neat/as supplied</x:v>
      </x:c>
      <x:c r="I27" s="92" t="str">
        <x:v>Kephalis neat/as supplied</x:v>
      </x:c>
      <x:c r="J27" s="92" t="n">
        <x:v>1</x:v>
      </x:c>
      <x:c r="K27" s="92" t="str">
        <x:v>USER CONFIRMATION • 2026-08-07</x:v>
      </x:c>
      <x:c r="L27" s="92" t="str">
        <x:v>NO</x:v>
      </x:c>
      <x:c r="M27" s="92" t="str">
        <x:v>NO DIRECT SIX-PILOT COUNT CLAIM</x:v>
      </x:c>
      <x:c r="N27" s="92"/>
      <x:c r="O27" s="92" t="str">
        <x:v>User confirmed ownership on 2026-08-07.</x:v>
      </x:c>
    </x:row>
    <x:row r="28">
      <x:c r="A28" s="92" t="n">
        <x:v>27</x:v>
      </x:c>
      <x:c r="B28" s="92" t="str">
        <x:v>peru balasam resinoid 50% w/w</x:v>
      </x:c>
      <x:c r="C28" s="92" t="str">
        <x:v>Peru Balsam 10%</x:v>
      </x:c>
      <x:c r="D28" s="92" t="str">
        <x:v>Peru Balsam 10%</x:v>
      </x:c>
      <x:c r="E28" s="92" t="str">
        <x:v>UPDATED / RECONFIRMED</x:v>
      </x:c>
      <x:c r="F28" s="92" t="str">
        <x:v>HAVE — 50% ONLY</x:v>
      </x:c>
      <x:c r="G28" s="92" t="str">
        <x:v>HAVE — 50% W/W / CARRIER UNSTATED</x:v>
      </x:c>
      <x:c r="H28" s="92" t="str">
        <x:v>Peru Balsam Resinoid 50%</x:v>
      </x:c>
      <x:c r="I28" s="92" t="str">
        <x:v>Peru Balsam Resinoid 50% w/w; carrier not stated</x:v>
      </x:c>
      <x:c r="J28" s="92" t="n">
        <x:v>0.5</x:v>
      </x:c>
      <x:c r="K28" s="92" t="str">
        <x:v>USER CONFIRMATION • 2026-08-07</x:v>
      </x:c>
      <x:c r="L28" s="92" t="str">
        <x:v>NO</x:v>
      </x:c>
      <x:c r="M28" s="92" t="str">
        <x:v>NO DIRECT SIX-PILOT COUNT CLAIM</x:v>
      </x:c>
      <x:c r="N28" s="92"/>
      <x:c r="O28" s="92" t="str">
        <x:v>User confirmed ownership on 2026-08-07.</x:v>
      </x:c>
    </x:row>
    <x:row r="29">
      <x:c r="A29" s="92" t="n">
        <x:v>28</x:v>
      </x:c>
      <x:c r="B29" s="92" t="str">
        <x:v>castoreum synthetic</x:v>
      </x:c>
      <x:c r="C29" s="92" t="str">
        <x:v>Castoreum Synthetic</x:v>
      </x:c>
      <x:c r="D29" s="92" t="str">
        <x:v>Castoreum Synthetic</x:v>
      </x:c>
      <x:c r="E29" s="92" t="str">
        <x:v>UPDATED / RECONFIRMED</x:v>
      </x:c>
      <x:c r="F29" s="92" t="str">
        <x:v>HAVE — NEAT + 10%</x:v>
      </x:c>
      <x:c r="G29" s="92" t="str">
        <x:v>HAVE — PRODUCT BASIS</x:v>
      </x:c>
      <x:c r="H29" s="92" t="str">
        <x:v>Castoreum Synthetic neat and 10% in DPG</x:v>
      </x:c>
      <x:c r="I29" s="92" t="str">
        <x:v>Castoreum Synthetic as supplied</x:v>
      </x:c>
      <x:c r="J29" s="92"/>
      <x:c r="K29" s="92" t="str">
        <x:v>USER CONFIRMATION • 2026-08-07</x:v>
      </x:c>
      <x:c r="L29" s="92" t="str">
        <x:v>NO</x:v>
      </x:c>
      <x:c r="M29" s="92" t="str">
        <x:v>NO DIRECT SIX-PILOT COUNT CLAIM</x:v>
      </x:c>
      <x:c r="N29" s="92" t="str">
        <x:v>Synthetic castoreum product basis; composition not inferred.</x:v>
      </x:c>
      <x:c r="O29" s="92" t="str">
        <x:v>User confirmed ownership on 2026-08-07.</x:v>
      </x:c>
    </x:row>
    <x:row r="30">
      <x:c r="A30" s="92" t="n">
        <x:v>29</x:v>
      </x:c>
      <x:c r="B30" s="92" t="str">
        <x:v>cypress eo</x:v>
      </x:c>
      <x:c r="C30" s="92" t="str">
        <x:v>Cypress EO</x:v>
      </x:c>
      <x:c r="D30" s="92" t="str">
        <x:v>Cypress EO</x:v>
      </x:c>
      <x:c r="E30" s="92" t="str">
        <x:v>UPDATED / RECONFIRMED</x:v>
      </x:c>
      <x:c r="F30" s="92" t="str">
        <x:v>GAP</x:v>
      </x:c>
      <x:c r="G30" s="92" t="str">
        <x:v>HAVE — NEAT / LOT DETAIL OPEN</x:v>
      </x:c>
      <x:c r="H30" s="92"/>
      <x:c r="I30" s="92" t="str">
        <x:v>Cypress EO neat/as supplied; supplier, botanical and lot details not yet recorded</x:v>
      </x:c>
      <x:c r="J30" s="92" t="n">
        <x:v>1</x:v>
      </x:c>
      <x:c r="K30" s="92" t="str">
        <x:v>USER CONFIRMATION • 2026-08-07</x:v>
      </x:c>
      <x:c r="L30" s="92" t="str">
        <x:v>NO</x:v>
      </x:c>
      <x:c r="M30" s="92" t="str">
        <x:v>RESOLVES 3 PORTFOLIO INVENTORY GAPS; NO DIRECT SIX-PILOT USE</x:v>
      </x:c>
      <x:c r="N30" s="92"/>
      <x:c r="O30" s="92" t="str">
        <x:v>User confirmed ownership on 2026-08-07.</x:v>
      </x:c>
    </x:row>
    <x:row r="31">
      <x:c r="A31" s="92" t="n">
        <x:v>30</x:v>
      </x:c>
      <x:c r="B31" s="92" t="str">
        <x:v>black agarwood artificial 10% w/w in DPG</x:v>
      </x:c>
      <x:c r="C31" s="92" t="str">
        <x:v>Black Agarwood Artificial 10%</x:v>
      </x:c>
      <x:c r="D31" s="92" t="str">
        <x:v>Black Agarwood Artificial 10%</x:v>
      </x:c>
      <x:c r="E31" s="92" t="str">
        <x:v>UPDATED / RECONFIRMED</x:v>
      </x:c>
      <x:c r="F31" s="92" t="str">
        <x:v>HAVE</x:v>
      </x:c>
      <x:c r="G31" s="92" t="str">
        <x:v>HAVE — 10% W/W IN DPG</x:v>
      </x:c>
      <x:c r="H31" s="92" t="str">
        <x:v>10% prepared from neat</x:v>
      </x:c>
      <x:c r="I31" s="92" t="str">
        <x:v>Black Agarwood Artificial 10% w/w in DPG</x:v>
      </x:c>
      <x:c r="J31" s="92" t="n">
        <x:v>0.1</x:v>
      </x:c>
      <x:c r="K31" s="92" t="str">
        <x:v>USER CONFIRMATION • 2026-08-07</x:v>
      </x:c>
      <x:c r="L31" s="92" t="str">
        <x:v>NO</x:v>
      </x:c>
      <x:c r="M31" s="92" t="str">
        <x:v>NO DIRECT SIX-PILOT COUNT CLAIM</x:v>
      </x:c>
      <x:c r="N31" s="92"/>
      <x:c r="O31" s="92" t="str">
        <x:v>User confirmed ownership on 2026-08-07.</x:v>
      </x:c>
    </x:row>
    <x:row r="32">
      <x:c r="A32" s="92" t="n">
        <x:v>31</x:v>
      </x:c>
      <x:c r="B32" s="92" t="str">
        <x:v>azabre</x:v>
      </x:c>
      <x:c r="C32" s="92" t="str">
        <x:v>Azabre</x:v>
      </x:c>
      <x:c r="D32" s="92" t="str">
        <x:v>Azabre</x:v>
      </x:c>
      <x:c r="E32" s="92" t="str">
        <x:v>UPDATED / RECONFIRMED</x:v>
      </x:c>
      <x:c r="F32" s="92" t="str">
        <x:v>HAVE — PRODUCT BASIS</x:v>
      </x:c>
      <x:c r="G32" s="92" t="str">
        <x:v>HAVE — PRODUCT BASIS</x:v>
      </x:c>
      <x:c r="H32" s="92" t="str">
        <x:v>as supplied</x:v>
      </x:c>
      <x:c r="I32" s="92" t="str">
        <x:v>Azabre as supplied</x:v>
      </x:c>
      <x:c r="J32" s="92"/>
      <x:c r="K32" s="92" t="str">
        <x:v>USER CONFIRMATION • 2026-08-07</x:v>
      </x:c>
      <x:c r="L32" s="92" t="str">
        <x:v>NO</x:v>
      </x:c>
      <x:c r="M32" s="92" t="str">
        <x:v>NO DIRECT SIX-PILOT COUNT CLAIM</x:v>
      </x:c>
      <x:c r="N32" s="92" t="str">
        <x:v>Opaque specialty product; composition not inferred.</x:v>
      </x:c>
      <x:c r="O32" s="92" t="str">
        <x:v>User confirmed ownership on 2026-08-07.</x:v>
      </x:c>
    </x:row>
    <x:row r="33">
      <x:c r="A33" s="92" t="n">
        <x:v>32</x:v>
      </x:c>
      <x:c r="B33" s="92" t="str">
        <x:v>skatole 1%</x:v>
      </x:c>
      <x:c r="C33" s="92" t="str">
        <x:v>Skatole 1%</x:v>
      </x:c>
      <x:c r="D33" s="92" t="str">
        <x:v>Skatole 1%</x:v>
      </x:c>
      <x:c r="E33" s="92" t="str">
        <x:v>ADDED</x:v>
      </x:c>
      <x:c r="F33" s="92"/>
      <x:c r="G33" s="92" t="str">
        <x:v>HAVE — 1% / CARRIER UNSTATED</x:v>
      </x:c>
      <x:c r="H33" s="92"/>
      <x:c r="I33" s="92" t="str">
        <x:v>Skatole 1%; carrier not stated</x:v>
      </x:c>
      <x:c r="J33" s="92" t="n">
        <x:v>0.01</x:v>
      </x:c>
      <x:c r="K33" s="92" t="str">
        <x:v>USER CONFIRMATION • 2026-08-07</x:v>
      </x:c>
      <x:c r="L33" s="92" t="str">
        <x:v>NO</x:v>
      </x:c>
      <x:c r="M33" s="92" t="str">
        <x:v>NO DIRECT SIX-PILOT COUNT CLAIM</x:v>
      </x:c>
      <x:c r="N33" s="92"/>
      <x:c r="O33" s="92" t="str">
        <x:v>User confirmed ownership on 2026-08-07.</x:v>
      </x:c>
    </x:row>
    <x:row r="34">
      <x:c r="A34" s="92" t="n">
        <x:v>33</x:v>
      </x:c>
      <x:c r="B34" s="92" t="str">
        <x:v>PADMA</x:v>
      </x:c>
      <x:c r="C34" s="92" t="str">
        <x:v>Phenylacetaldehyde Dimethyl Acetal (PADMA)</x:v>
      </x:c>
      <x:c r="D34" s="92" t="str">
        <x:v>Phenylacetaldehyde Dimethyl Acetal (PADMA)</x:v>
      </x:c>
      <x:c r="E34" s="92" t="str">
        <x:v>UPDATED / RECONFIRMED</x:v>
      </x:c>
      <x:c r="F34" s="92" t="str">
        <x:v>HAVE</x:v>
      </x:c>
      <x:c r="G34" s="92" t="str">
        <x:v>HAVE — NEAT / AS SUPPLIED</x:v>
      </x:c>
      <x:c r="H34" s="92" t="str">
        <x:v>neat/as supplied; CAS 101-48-4</x:v>
      </x:c>
      <x:c r="I34" s="92" t="str">
        <x:v>Phenylacetaldehyde Dimethyl Acetal (PADMA) neat/as supplied</x:v>
      </x:c>
      <x:c r="J34" s="92" t="n">
        <x:v>1</x:v>
      </x:c>
      <x:c r="K34" s="92" t="str">
        <x:v>USER CONFIRMATION • 2026-08-07</x:v>
      </x:c>
      <x:c r="L34" s="92" t="str">
        <x:v>NO</x:v>
      </x:c>
      <x:c r="M34" s="92" t="str">
        <x:v>NO DIRECT SIX-PILOT COUNT CLAIM</x:v>
      </x:c>
      <x:c r="N34" s="92"/>
      <x:c r="O34" s="92" t="str">
        <x:v>User confirmed ownership on 2026-08-07.</x:v>
      </x:c>
    </x:row>
    <x:row r="35">
      <x:c r="A35" s="92" t="n">
        <x:v>34</x:v>
      </x:c>
      <x:c r="B35" s="92" t="str">
        <x:v>hay absolute 10%</x:v>
      </x:c>
      <x:c r="C35" s="92" t="str">
        <x:v>Hay Absolute 10%</x:v>
      </x:c>
      <x:c r="D35" s="92" t="str">
        <x:v>Hay Absolute 10%</x:v>
      </x:c>
      <x:c r="E35" s="92" t="str">
        <x:v>UPDATED / RECONFIRMED</x:v>
      </x:c>
      <x:c r="F35" s="92" t="str">
        <x:v>HAVE — 10% CONFIRMED</x:v>
      </x:c>
      <x:c r="G35" s="92" t="str">
        <x:v>HAVE — 10%</x:v>
      </x:c>
      <x:c r="H35" s="92" t="str">
        <x:v>Hay Absolute 10% in DPG</x:v>
      </x:c>
      <x:c r="I35" s="92" t="str">
        <x:v>Hay Absolute 10% working stock; carrier not restated by user</x:v>
      </x:c>
      <x:c r="J35" s="92" t="n">
        <x:v>0.1</x:v>
      </x:c>
      <x:c r="K35" s="92" t="str">
        <x:v>USER CONFIRMATION • 2026-08-07</x:v>
      </x:c>
      <x:c r="L35" s="92" t="str">
        <x:v>NO</x:v>
      </x:c>
      <x:c r="M35" s="92" t="str">
        <x:v>NO DIRECT SIX-PILOT COUNT CLAIM</x:v>
      </x:c>
      <x:c r="N35" s="92"/>
      <x:c r="O35" s="92" t="str">
        <x:v>User confirmed ownership on 2026-08-07.</x:v>
      </x:c>
    </x:row>
    <x:row r="36">
      <x:c r="A36" s="92" t="n">
        <x:v>35</x:v>
      </x:c>
      <x:c r="B36" s="92" t="str">
        <x:v>tonkarome 20%</x:v>
      </x:c>
      <x:c r="C36" s="92" t="str">
        <x:v>Tonkarome 20%</x:v>
      </x:c>
      <x:c r="D36" s="92" t="str">
        <x:v>Tonkarome 20%</x:v>
      </x:c>
      <x:c r="E36" s="92" t="str">
        <x:v>ADDED</x:v>
      </x:c>
      <x:c r="F36" s="92"/>
      <x:c r="G36" s="92" t="str">
        <x:v>HAVE — PRODUCT BASIS 20% / CARRIER UNSTATED</x:v>
      </x:c>
      <x:c r="H36" s="92"/>
      <x:c r="I36" s="92" t="str">
        <x:v>Tonkarome 20%; carrier not stated</x:v>
      </x:c>
      <x:c r="J36" s="92" t="n">
        <x:v>0.2</x:v>
      </x:c>
      <x:c r="K36" s="92" t="str">
        <x:v>USER CONFIRMATION • 2026-08-07</x:v>
      </x:c>
      <x:c r="L36" s="92" t="str">
        <x:v>NO</x:v>
      </x:c>
      <x:c r="M36" s="92" t="str">
        <x:v>NO DIRECT SIX-PILOT COUNT CLAIM</x:v>
      </x:c>
      <x:c r="N36" s="92" t="str">
        <x:v>Named specialty product; internal composition not inferred.</x:v>
      </x:c>
      <x:c r="O36" s="92" t="str">
        <x:v>User confirmed ownership on 2026-08-07.</x:v>
      </x:c>
    </x:row>
    <x:row r="37">
      <x:c r="A37" s="92" t="n">
        <x:v>36</x:v>
      </x:c>
      <x:c r="B37" s="92" t="str">
        <x:v>cabreuva EO 50% w/w DPG</x:v>
      </x:c>
      <x:c r="C37" s="92" t="str">
        <x:v>Cabreuva EO 50% in DPG</x:v>
      </x:c>
      <x:c r="D37" s="92" t="str">
        <x:v>Cabreuva EO 50% in DPG</x:v>
      </x:c>
      <x:c r="E37" s="92" t="str">
        <x:v>UPDATED / RECONFIRMED</x:v>
      </x:c>
      <x:c r="F37" s="92" t="str">
        <x:v>HAVE</x:v>
      </x:c>
      <x:c r="G37" s="92" t="str">
        <x:v>HAVE — 50% W/W IN DPG</x:v>
      </x:c>
      <x:c r="H37" s="92" t="str">
        <x:v>50% in DPG</x:v>
      </x:c>
      <x:c r="I37" s="92" t="str">
        <x:v>Cabreuva EO 50% w/w in DPG</x:v>
      </x:c>
      <x:c r="J37" s="92" t="n">
        <x:v>0.5</x:v>
      </x:c>
      <x:c r="K37" s="92" t="str">
        <x:v>USER CONFIRMATION • 2026-08-07</x:v>
      </x:c>
      <x:c r="L37" s="92" t="str">
        <x:v>NO</x:v>
      </x:c>
      <x:c r="M37" s="92" t="str">
        <x:v>NO DIRECT SIX-PILOT COUNT CLAIM</x:v>
      </x:c>
      <x:c r="N37" s="92"/>
      <x:c r="O37" s="92" t="str">
        <x:v>User confirmed ownership on 2026-08-07.</x:v>
      </x:c>
    </x:row>
    <x:row r="38">
      <x:c r="A38" s="92" t="n">
        <x:v>37</x:v>
      </x:c>
      <x:c r="B38" s="92" t="str">
        <x:v>2-acetyl-pyrazine 1%</x:v>
      </x:c>
      <x:c r="C38" s="92" t="str">
        <x:v>2-Acetyl Pyrazine</x:v>
      </x:c>
      <x:c r="D38" s="92" t="str">
        <x:v>2-Acetyl Pyrazine</x:v>
      </x:c>
      <x:c r="E38" s="92" t="str">
        <x:v>UPDATED / RECONFIRMED</x:v>
      </x:c>
      <x:c r="F38" s="92" t="str">
        <x:v>HAVE — NEAT</x:v>
      </x:c>
      <x:c r="G38" s="92" t="str">
        <x:v>HAVE — NEAT + 1% / 1% CARRIER UNSTATED</x:v>
      </x:c>
      <x:c r="H38" s="92" t="str">
        <x:v>2-Acetyl Pyrazine neat/as supplied</x:v>
      </x:c>
      <x:c r="I38" s="92" t="str">
        <x:v>2-Acetyl Pyrazine neat/as supplied; 1% working stock (carrier not stated)</x:v>
      </x:c>
      <x:c r="J38" s="92" t="n">
        <x:v>1</x:v>
      </x:c>
      <x:c r="K38" s="92" t="str">
        <x:v>USER CONFIRMATION • 2026-08-07</x:v>
      </x:c>
      <x:c r="L38" s="92" t="str">
        <x:v>NO</x:v>
      </x:c>
      <x:c r="M38" s="92" t="str">
        <x:v>NO DIRECT SIX-PILOT COUNT CLAIM</x:v>
      </x:c>
      <x:c r="N38" s="92"/>
      <x:c r="O38" s="92" t="str">
        <x:v>User confirmed ownership on 2026-08-07.</x:v>
      </x:c>
    </x:row>
    <x:row r="39">
      <x:c r="A39" s="92" t="n">
        <x:v>38</x:v>
      </x:c>
      <x:c r="B39" s="92" t="str">
        <x:v>cinnamaldehyde 1%</x:v>
      </x:c>
      <x:c r="C39" s="92" t="str">
        <x:v>Cinnamaldehyde 1%</x:v>
      </x:c>
      <x:c r="D39" s="92" t="str">
        <x:v>Cinnamaldehyde 1%</x:v>
      </x:c>
      <x:c r="E39" s="92" t="str">
        <x:v>UPDATED / RECONFIRMED</x:v>
      </x:c>
      <x:c r="F39" s="92" t="str">
        <x:v>HAVE</x:v>
      </x:c>
      <x:c r="G39" s="92" t="str">
        <x:v>HAVE — 1%</x:v>
      </x:c>
      <x:c r="H39" s="92" t="str">
        <x:v>1% working stock</x:v>
      </x:c>
      <x:c r="I39" s="92" t="str">
        <x:v>Cinnamaldehyde 1% working stock</x:v>
      </x:c>
      <x:c r="J39" s="92" t="n">
        <x:v>0.01</x:v>
      </x:c>
      <x:c r="K39" s="92" t="str">
        <x:v>USER CONFIRMATION • 2026-08-07</x:v>
      </x:c>
      <x:c r="L39" s="92" t="str">
        <x:v>NO</x:v>
      </x:c>
      <x:c r="M39" s="92" t="str">
        <x:v>NO DIRECT SIX-PILOT COUNT CLAIM</x:v>
      </x:c>
      <x:c r="N39" s="92"/>
      <x:c r="O39" s="92" t="str">
        <x:v>User confirmed ownership on 2026-08-07.</x:v>
      </x:c>
    </x:row>
    <x:row r="40">
      <x:c r="A40" s="92" t="n">
        <x:v>39</x:v>
      </x:c>
      <x:c r="B40" s="92" t="str">
        <x:v>anisaldehyde 10%</x:v>
      </x:c>
      <x:c r="C40" s="92" t="str">
        <x:v>Anisaldehyde 10%</x:v>
      </x:c>
      <x:c r="D40" s="92" t="str">
        <x:v>Anisaldehyde 10%</x:v>
      </x:c>
      <x:c r="E40" s="92" t="str">
        <x:v>UPDATED / RECONFIRMED</x:v>
      </x:c>
      <x:c r="F40" s="92" t="str">
        <x:v>HAVE</x:v>
      </x:c>
      <x:c r="G40" s="92" t="str">
        <x:v>HAVE — 10%</x:v>
      </x:c>
      <x:c r="H40" s="92" t="str">
        <x:v>10% working stock</x:v>
      </x:c>
      <x:c r="I40" s="92" t="str">
        <x:v>Anisaldehyde 10% working stock</x:v>
      </x:c>
      <x:c r="J40" s="92" t="n">
        <x:v>0.1</x:v>
      </x:c>
      <x:c r="K40" s="92" t="str">
        <x:v>USER CONFIRMATION • 2026-08-07</x:v>
      </x:c>
      <x:c r="L40" s="92" t="str">
        <x:v>NO</x:v>
      </x:c>
      <x:c r="M40" s="92" t="str">
        <x:v>NO DIRECT SIX-PILOT COUNT CLAIM</x:v>
      </x:c>
      <x:c r="N40" s="92"/>
      <x:c r="O40" s="92" t="str">
        <x:v>User confirmed ownership on 2026-08-07.</x:v>
      </x:c>
    </x:row>
    <x:row r="41">
      <x:c r="A41" s="92" t="n">
        <x:v>40</x:v>
      </x:c>
      <x:c r="B41" s="92" t="str">
        <x:v>safraleine 10% w/w DPG</x:v>
      </x:c>
      <x:c r="C41" s="92" t="str">
        <x:v>Safraleine 10%</x:v>
      </x:c>
      <x:c r="D41" s="92" t="str">
        <x:v>Safraleine 10%</x:v>
      </x:c>
      <x:c r="E41" s="92" t="str">
        <x:v>UPDATED / RECONFIRMED</x:v>
      </x:c>
      <x:c r="F41" s="92" t="str">
        <x:v>HAVE</x:v>
      </x:c>
      <x:c r="G41" s="92" t="str">
        <x:v>HAVE — 10% W/W IN DPG</x:v>
      </x:c>
      <x:c r="H41" s="92" t="str">
        <x:v>10% working dilution</x:v>
      </x:c>
      <x:c r="I41" s="92" t="str">
        <x:v>Safraleine 10% w/w in DPG</x:v>
      </x:c>
      <x:c r="J41" s="92" t="n">
        <x:v>0.1</x:v>
      </x:c>
      <x:c r="K41" s="92" t="str">
        <x:v>USER CONFIRMATION • 2026-08-07</x:v>
      </x:c>
      <x:c r="L41" s="92" t="str">
        <x:v>NO</x:v>
      </x:c>
      <x:c r="M41" s="92" t="str">
        <x:v>NO DIRECT SIX-PILOT COUNT CLAIM</x:v>
      </x:c>
      <x:c r="N41" s="92"/>
      <x:c r="O41" s="92" t="str">
        <x:v>User confirmed ownership on 2026-08-07.</x:v>
      </x:c>
    </x:row>
    <x:row r="42">
      <x:c r="A42" s="92" t="n">
        <x:v>41</x:v>
      </x:c>
      <x:c r="B42" s="92" t="str">
        <x:v>mimosa absolute 10% in DPG</x:v>
      </x:c>
      <x:c r="C42" s="92" t="str">
        <x:v>Mimosa Absolute 10%</x:v>
      </x:c>
      <x:c r="D42" s="92" t="str">
        <x:v>Mimosa Absolute 10%</x:v>
      </x:c>
      <x:c r="E42" s="92" t="str">
        <x:v>UPDATED / RECONFIRMED</x:v>
      </x:c>
      <x:c r="F42" s="92" t="str">
        <x:v>HAVE</x:v>
      </x:c>
      <x:c r="G42" s="92" t="str">
        <x:v>HAVE — 10% IN DPG</x:v>
      </x:c>
      <x:c r="H42" s="92" t="str">
        <x:v>10% working stock</x:v>
      </x:c>
      <x:c r="I42" s="92" t="str">
        <x:v>Mimosa Absolute 10% in DPG</x:v>
      </x:c>
      <x:c r="J42" s="92" t="n">
        <x:v>0.1</x:v>
      </x:c>
      <x:c r="K42" s="92" t="str">
        <x:v>USER CONFIRMATION • 2026-08-07</x:v>
      </x:c>
      <x:c r="L42" s="92" t="str">
        <x:v>NO</x:v>
      </x:c>
      <x:c r="M42" s="92" t="str">
        <x:v>NO DIRECT SIX-PILOT COUNT CLAIM</x:v>
      </x:c>
      <x:c r="N42" s="92"/>
      <x:c r="O42" s="92" t="str">
        <x:v>User confirmed ownership on 2026-08-07.</x:v>
      </x:c>
    </x:row>
    <x:row r="43">
      <x:c r="A43" s="92" t="n">
        <x:v>42</x:v>
      </x:c>
      <x:c r="B43" s="92" t="str">
        <x:v>tagates eo 10% in dpg</x:v>
      </x:c>
      <x:c r="C43" s="92" t="str">
        <x:v>Tagetes EO 10%</x:v>
      </x:c>
      <x:c r="D43" s="92" t="str">
        <x:v>Tagetes EO 10%</x:v>
      </x:c>
      <x:c r="E43" s="92" t="str">
        <x:v>UPDATED / RECONFIRMED</x:v>
      </x:c>
      <x:c r="F43" s="92" t="str">
        <x:v>HAVE</x:v>
      </x:c>
      <x:c r="G43" s="92" t="str">
        <x:v>HAVE — 10% IN DPG</x:v>
      </x:c>
      <x:c r="H43" s="92" t="str">
        <x:v>10% working stock</x:v>
      </x:c>
      <x:c r="I43" s="92" t="str">
        <x:v>Tagetes EO 10% in DPG</x:v>
      </x:c>
      <x:c r="J43" s="92" t="n">
        <x:v>0.1</x:v>
      </x:c>
      <x:c r="K43" s="92" t="str">
        <x:v>USER CONFIRMATION • 2026-08-07</x:v>
      </x:c>
      <x:c r="L43" s="92" t="str">
        <x:v>NO</x:v>
      </x:c>
      <x:c r="M43" s="92" t="str">
        <x:v>NO DIRECT SIX-PILOT COUNT CLAIM</x:v>
      </x:c>
      <x:c r="N43" s="92" t="str">
        <x:v>User spelling “tagates” normalized to Tagetes.</x:v>
      </x:c>
      <x:c r="O43" s="92" t="str">
        <x:v>User confirmed ownership on 2026-08-07.</x:v>
      </x:c>
    </x:row>
    <x:row r="44">
      <x:c r="A44" s="92" t="n">
        <x:v>43</x:v>
      </x:c>
      <x:c r="B44" s="92" t="str">
        <x:v>adoxal 10% in DPG</x:v>
      </x:c>
      <x:c r="C44" s="92" t="str">
        <x:v>Adoxal 10% in DPG</x:v>
      </x:c>
      <x:c r="D44" s="92" t="str">
        <x:v>Adoxal 10% in DPG</x:v>
      </x:c>
      <x:c r="E44" s="92" t="str">
        <x:v>UPDATED / RECONFIRMED</x:v>
      </x:c>
      <x:c r="F44" s="92" t="str">
        <x:v>HAVE</x:v>
      </x:c>
      <x:c r="G44" s="92" t="str">
        <x:v>HAVE — 10% IN DPG</x:v>
      </x:c>
      <x:c r="H44" s="92" t="str">
        <x:v>10% in DPG</x:v>
      </x:c>
      <x:c r="I44" s="92" t="str">
        <x:v>Adoxal 10% in DPG</x:v>
      </x:c>
      <x:c r="J44" s="92" t="n">
        <x:v>0.1</x:v>
      </x:c>
      <x:c r="K44" s="92" t="str">
        <x:v>USER CONFIRMATION • 2026-08-07</x:v>
      </x:c>
      <x:c r="L44" s="92" t="str">
        <x:v>NO</x:v>
      </x:c>
      <x:c r="M44" s="92" t="str">
        <x:v>NO DIRECT SIX-PILOT COUNT CLAIM</x:v>
      </x:c>
      <x:c r="N44" s="92"/>
      <x:c r="O44" s="92" t="str">
        <x:v>User confirmed ownership on 2026-08-07.</x:v>
      </x:c>
    </x:row>
    <x:row r="45">
      <x:c r="A45" s="92" t="n">
        <x:v>44</x:v>
      </x:c>
      <x:c r="B45" s="92" t="str">
        <x:v>Bourgenol 20% in TEC w/w</x:v>
      </x:c>
      <x:c r="C45" s="92" t="str">
        <x:v>Bourgeonal 20% in TEC</x:v>
      </x:c>
      <x:c r="D45" s="92" t="str">
        <x:v>Bourgeonal 20% in TEC</x:v>
      </x:c>
      <x:c r="E45" s="92" t="str">
        <x:v>ADDED</x:v>
      </x:c>
      <x:c r="F45" s="92"/>
      <x:c r="G45" s="92" t="str">
        <x:v>HAVE — 20% W/W IN TEC / LABEL NAME OPEN</x:v>
      </x:c>
      <x:c r="H45" s="92"/>
      <x:c r="I45" s="92" t="str">
        <x:v>Bourgenol/Bourgeonal 20% w/w in TEC</x:v>
      </x:c>
      <x:c r="J45" s="92" t="n">
        <x:v>0.2</x:v>
      </x:c>
      <x:c r="K45" s="92" t="str">
        <x:v>USER CONFIRMATION • 2026-08-07</x:v>
      </x:c>
      <x:c r="L45" s="92" t="str">
        <x:v>NO</x:v>
      </x:c>
      <x:c r="M45" s="92" t="str">
        <x:v>NO DIRECT SIX-PILOT COUNT CLAIM</x:v>
      </x:c>
      <x:c r="N45" s="92" t="str">
        <x:v>User bottle wording/spelling recorded as Bourgenol; canonical Bourgeonal spelling remains label-verification dependent.</x:v>
      </x:c>
      <x:c r="O45" s="92" t="str">
        <x:v>User confirmed ownership on 2026-08-07.</x:v>
      </x:c>
    </x:row>
    <x:row r="46">
      <x:c r="A46" s="92" t="n">
        <x:v>45</x:v>
      </x:c>
      <x:c r="B46" s="92" t="str">
        <x:v>ethyl maltol 10% and 1%</x:v>
      </x:c>
      <x:c r="C46" s="92" t="str">
        <x:v>Ethyl Maltol 1% + 10%</x:v>
      </x:c>
      <x:c r="D46" s="92" t="str">
        <x:v>Ethyl Maltol 1% + 10%</x:v>
      </x:c>
      <x:c r="E46" s="92" t="str">
        <x:v>ADDED</x:v>
      </x:c>
      <x:c r="F46" s="92"/>
      <x:c r="G46" s="92" t="str">
        <x:v>HAVE — 1% + 10% / CARRIERS UNSTATED</x:v>
      </x:c>
      <x:c r="H46" s="92"/>
      <x:c r="I46" s="92" t="str">
        <x:v>Ethyl Maltol 1% and 10% working stocks; carriers not stated</x:v>
      </x:c>
      <x:c r="J46" s="92"/>
      <x:c r="K46" s="92" t="str">
        <x:v>USER CONFIRMATION • 2026-08-07</x:v>
      </x:c>
      <x:c r="L46" s="92" t="str">
        <x:v>NO</x:v>
      </x:c>
      <x:c r="M46" s="92" t="str">
        <x:v>NO DIRECT SIX-PILOT COUNT CLAIM</x:v>
      </x:c>
      <x:c r="N46" s="92" t="str">
        <x:v>Same parent material at two strengths; count once toward odor complexity.</x:v>
      </x:c>
      <x:c r="O46" s="92" t="str">
        <x:v>User confirmed ownership on 2026-08-07.</x:v>
      </x:c>
    </x:row>
    <x:row r="47">
      <x:c r="A47" s="92" t="n">
        <x:v>46</x:v>
      </x:c>
      <x:c r="B47" s="92" t="str">
        <x:v>tuberose absolute 10% in DPG</x:v>
      </x:c>
      <x:c r="C47" s="92" t="str">
        <x:v>Tuberose Absolute 10%</x:v>
      </x:c>
      <x:c r="D47" s="92" t="str">
        <x:v>Tuberose Absolute 10%</x:v>
      </x:c>
      <x:c r="E47" s="92" t="str">
        <x:v>UPDATED / RECONFIRMED</x:v>
      </x:c>
      <x:c r="F47" s="92" t="str">
        <x:v>HAVE</x:v>
      </x:c>
      <x:c r="G47" s="92" t="str">
        <x:v>HAVE — 10% IN DPG</x:v>
      </x:c>
      <x:c r="H47" s="92" t="str">
        <x:v>10% working stock</x:v>
      </x:c>
      <x:c r="I47" s="92" t="str">
        <x:v>Tuberose Absolute 10% in DPG</x:v>
      </x:c>
      <x:c r="J47" s="92" t="n">
        <x:v>0.1</x:v>
      </x:c>
      <x:c r="K47" s="92" t="str">
        <x:v>USER CONFIRMATION • 2026-08-07</x:v>
      </x:c>
      <x:c r="L47" s="92" t="str">
        <x:v>NO</x:v>
      </x:c>
      <x:c r="M47" s="92" t="str">
        <x:v>NO DIRECT SIX-PILOT COUNT CLAIM</x:v>
      </x:c>
      <x:c r="N47" s="92"/>
      <x:c r="O47" s="92" t="str">
        <x:v>User confirmed ownership on 2026-08-07.</x:v>
      </x:c>
    </x:row>
    <x:row r="48">
      <x:c r="A48" s="92" t="n">
        <x:v>47</x:v>
      </x:c>
      <x:c r="B48" s="92" t="str">
        <x:v>Tuberlia base</x:v>
      </x:c>
      <x:c r="C48" s="92" t="str">
        <x:v>Tuberalia Base</x:v>
      </x:c>
      <x:c r="D48" s="92" t="str">
        <x:v>Tuberalia Base</x:v>
      </x:c>
      <x:c r="E48" s="92" t="str">
        <x:v>UPDATED / RECONFIRMED</x:v>
      </x:c>
      <x:c r="F48" s="92" t="str">
        <x:v>HAVE — PRODUCT BASIS</x:v>
      </x:c>
      <x:c r="G48" s="92" t="str">
        <x:v>HAVE — PRODUCT BASIS</x:v>
      </x:c>
      <x:c r="H48" s="92" t="str">
        <x:v>Tuberalia Base as supplied; PerfumersWorld specialty base</x:v>
      </x:c>
      <x:c r="I48" s="92" t="str">
        <x:v>Tuberalia Base as supplied</x:v>
      </x:c>
      <x:c r="J48" s="92"/>
      <x:c r="K48" s="92" t="str">
        <x:v>USER CONFIRMATION • 2026-08-07</x:v>
      </x:c>
      <x:c r="L48" s="92" t="str">
        <x:v>NO</x:v>
      </x:c>
      <x:c r="M48" s="92" t="str">
        <x:v>NO DIRECT SIX-PILOT COUNT CLAIM</x:v>
      </x:c>
      <x:c r="N48" s="92" t="str">
        <x:v>User spelling “Tuberlia” normalized to existing Tuberalia Base; composition remains opaque.</x:v>
      </x:c>
      <x:c r="O48" s="92" t="str">
        <x:v>User confirmed ownership on 2026-08-07.</x:v>
      </x:c>
    </x:row>
    <x:row r="49">
      <x:c r="A49" s="92" t="n">
        <x:v>48</x:v>
      </x:c>
      <x:c r="B49" s="92" t="str">
        <x:v>Tuberose EO (volume level grade)</x:v>
      </x:c>
      <x:c r="C49" s="92" t="str">
        <x:v>Tuberose EO Volume Grade</x:v>
      </x:c>
      <x:c r="D49" s="92" t="str">
        <x:v>Tuberose EO Volume Grade</x:v>
      </x:c>
      <x:c r="E49" s="92" t="str">
        <x:v>UPDATED / RECONFIRMED</x:v>
      </x:c>
      <x:c r="F49" s="92" t="str">
        <x:v>HAVE — PRODUCT BASIS</x:v>
      </x:c>
      <x:c r="G49" s="92" t="str">
        <x:v>HAVE — PRODUCT BASIS</x:v>
      </x:c>
      <x:c r="H49" s="92" t="str">
        <x:v>Tuberose EO Volume Grade as supplied</x:v>
      </x:c>
      <x:c r="I49" s="92" t="str">
        <x:v>Tuberose EO Volume Grade as supplied</x:v>
      </x:c>
      <x:c r="J49" s="92"/>
      <x:c r="K49" s="92" t="str">
        <x:v>USER CONFIRMATION • 2026-08-07</x:v>
      </x:c>
      <x:c r="L49" s="92" t="str">
        <x:v>NO</x:v>
      </x:c>
      <x:c r="M49" s="92" t="str">
        <x:v>NO DIRECT SIX-PILOT COUNT CLAIM</x:v>
      </x:c>
      <x:c r="N49" s="92" t="str">
        <x:v>Volume-grade product is not treated as a chemically defined essential oil.</x:v>
      </x:c>
      <x:c r="O49" s="92" t="str">
        <x:v>User confirmed ownership on 2026-08-07.</x:v>
      </x:c>
    </x:row>
    <x:row r="50">
      <x:c r="A50" s="92" t="n">
        <x:v>49</x:v>
      </x:c>
      <x:c r="B50" s="92" t="str">
        <x:v>cis-Jasmone</x:v>
      </x:c>
      <x:c r="C50" s="92" t="str">
        <x:v>cis-Jasmone</x:v>
      </x:c>
      <x:c r="D50" s="92" t="str">
        <x:v>cis-Jasmone</x:v>
      </x:c>
      <x:c r="E50" s="92" t="str">
        <x:v>UPDATED / RECONFIRMED</x:v>
      </x:c>
      <x:c r="F50" s="92" t="str">
        <x:v>HAVE</x:v>
      </x:c>
      <x:c r="G50" s="92" t="str">
        <x:v>HAVE — NEAT</x:v>
      </x:c>
      <x:c r="H50" s="92" t="str">
        <x:v>as supplied</x:v>
      </x:c>
      <x:c r="I50" s="92" t="str">
        <x:v>cis-Jasmone neat/as supplied</x:v>
      </x:c>
      <x:c r="J50" s="92" t="n">
        <x:v>1</x:v>
      </x:c>
      <x:c r="K50" s="92" t="str">
        <x:v>USER CONFIRMATION • 2026-08-07</x:v>
      </x:c>
      <x:c r="L50" s="92" t="str">
        <x:v>NO</x:v>
      </x:c>
      <x:c r="M50" s="92" t="str">
        <x:v>NO DIRECT SIX-PILOT COUNT CLAIM</x:v>
      </x:c>
      <x:c r="N50" s="92"/>
      <x:c r="O50" s="92" t="str">
        <x:v>User confirmed ownership on 2026-08-07.</x:v>
      </x:c>
    </x:row>
    <x:row r="51">
      <x:c r="A51" s="92" t="n">
        <x:v>50</x:v>
      </x:c>
      <x:c r="B51" s="92" t="str">
        <x:v>aldehyde 10</x:v>
      </x:c>
      <x:c r="C51" s="92" t="str">
        <x:v>Aldehyde C10 neat</x:v>
      </x:c>
      <x:c r="D51" s="92" t="str">
        <x:v>Aldehyde C10 neat</x:v>
      </x:c>
      <x:c r="E51" s="92" t="str">
        <x:v>ADDED</x:v>
      </x:c>
      <x:c r="F51" s="92"/>
      <x:c r="G51" s="92" t="str">
        <x:v>HAVE — NEAT</x:v>
      </x:c>
      <x:c r="H51" s="92"/>
      <x:c r="I51" s="92" t="str">
        <x:v>Aldehyde C10 neat/as supplied</x:v>
      </x:c>
      <x:c r="J51" s="92" t="n">
        <x:v>1</x:v>
      </x:c>
      <x:c r="K51" s="92" t="str">
        <x:v>USER CONFIRMATION • 2026-08-07</x:v>
      </x:c>
      <x:c r="L51" s="92" t="str">
        <x:v>NO</x:v>
      </x:c>
      <x:c r="M51" s="92" t="str">
        <x:v>NO DIRECT SIX-PILOT COUNT CLAIM</x:v>
      </x:c>
      <x:c r="N51" s="92" t="str">
        <x:v>Same parent as C10 1% and 10% stocks; count once toward complexity.</x:v>
      </x:c>
      <x:c r="O51" s="92" t="str">
        <x:v>User confirmed ownership on 2026-08-07.</x:v>
      </x:c>
    </x:row>
    <x:row r="52">
      <x:c r="A52" s="92" t="n">
        <x:v>51</x:v>
      </x:c>
      <x:c r="B52" s="92" t="str">
        <x:v>aldehyde 11</x:v>
      </x:c>
      <x:c r="C52" s="92" t="str">
        <x:v>Aldehyde C11 neat</x:v>
      </x:c>
      <x:c r="D52" s="92" t="str">
        <x:v>Aldehyde C11 neat</x:v>
      </x:c>
      <x:c r="E52" s="92" t="str">
        <x:v>ADDED</x:v>
      </x:c>
      <x:c r="F52" s="92"/>
      <x:c r="G52" s="92" t="str">
        <x:v>HAVE — NEAT</x:v>
      </x:c>
      <x:c r="H52" s="92"/>
      <x:c r="I52" s="92" t="str">
        <x:v>Aldehyde C11 neat/as supplied</x:v>
      </x:c>
      <x:c r="J52" s="92" t="n">
        <x:v>1</x:v>
      </x:c>
      <x:c r="K52" s="92" t="str">
        <x:v>USER CONFIRMATION • 2026-08-07</x:v>
      </x:c>
      <x:c r="L52" s="92" t="str">
        <x:v>NO</x:v>
      </x:c>
      <x:c r="M52" s="92" t="str">
        <x:v>NO DIRECT SIX-PILOT COUNT CLAIM</x:v>
      </x:c>
      <x:c r="N52" s="92" t="str">
        <x:v>Same parent as C11 1% and 10% stocks; count once toward complexity.</x:v>
      </x:c>
      <x:c r="O52" s="92" t="str">
        <x:v>User confirmed ownership on 2026-08-07.</x:v>
      </x:c>
    </x:row>
    <x:row r="53">
      <x:c r="A53" s="92" t="n">
        <x:v>52</x:v>
      </x:c>
      <x:c r="B53" s="92" t="str">
        <x:v>aldehyde 12 MNA</x:v>
      </x:c>
      <x:c r="C53" s="92" t="str">
        <x:v>Aldehyde C12 MNA neat</x:v>
      </x:c>
      <x:c r="D53" s="92" t="str">
        <x:v>Aldehyde C12 MNA neat</x:v>
      </x:c>
      <x:c r="E53" s="92" t="str">
        <x:v>ADDED</x:v>
      </x:c>
      <x:c r="F53" s="92"/>
      <x:c r="G53" s="92" t="str">
        <x:v>HAVE — NEAT</x:v>
      </x:c>
      <x:c r="H53" s="92"/>
      <x:c r="I53" s="92" t="str">
        <x:v>Aldehyde C12 MNA neat/as supplied</x:v>
      </x:c>
      <x:c r="J53" s="92" t="n">
        <x:v>1</x:v>
      </x:c>
      <x:c r="K53" s="92" t="str">
        <x:v>USER CONFIRMATION • 2026-08-07</x:v>
      </x:c>
      <x:c r="L53" s="92" t="str">
        <x:v>NO</x:v>
      </x:c>
      <x:c r="M53" s="92" t="str">
        <x:v>NO DIRECT SIX-PILOT COUNT CLAIM</x:v>
      </x:c>
      <x:c r="N53" s="92" t="str">
        <x:v>Same parent as C12 MNA 1% and 10% stocks; count once toward complexity.</x:v>
      </x:c>
      <x:c r="O53" s="92" t="str">
        <x:v>User confirmed ownership on 2026-08-07.</x:v>
      </x:c>
    </x:row>
    <x:row r="54">
      <x:c r="A54" s="92" t="n">
        <x:v>53</x:v>
      </x:c>
      <x:c r="B54" s="92" t="str">
        <x:v>geosmin 0.1%</x:v>
      </x:c>
      <x:c r="C54" s="92" t="str">
        <x:v>Geosmin 0.1%</x:v>
      </x:c>
      <x:c r="D54" s="92" t="str">
        <x:v>Geosmin 0.1%</x:v>
      </x:c>
      <x:c r="E54" s="92" t="str">
        <x:v>UPDATED / RECONFIRMED</x:v>
      </x:c>
      <x:c r="F54" s="92" t="str">
        <x:v>HAVE</x:v>
      </x:c>
      <x:c r="G54" s="92" t="str">
        <x:v>HAVE — 0.1%</x:v>
      </x:c>
      <x:c r="H54" s="92" t="str">
        <x:v>0.1% in TEC</x:v>
      </x:c>
      <x:c r="I54" s="92" t="str">
        <x:v>Geosmin 0.1% working stock</x:v>
      </x:c>
      <x:c r="J54" s="92" t="n">
        <x:v>0.001</x:v>
      </x:c>
      <x:c r="K54" s="92" t="str">
        <x:v>USER CONFIRMATION • 2026-08-07</x:v>
      </x:c>
      <x:c r="L54" s="92" t="str">
        <x:v>NO</x:v>
      </x:c>
      <x:c r="M54" s="92" t="str">
        <x:v>NO DIRECT SIX-PILOT COUNT CLAIM</x:v>
      </x:c>
      <x:c r="N54" s="92"/>
      <x:c r="O54" s="92" t="str">
        <x:v>User confirmed ownership on 2026-08-07.</x:v>
      </x:c>
    </x:row>
    <x:row r="55">
      <x:c r="A55" s="92" t="n">
        <x:v>54</x:v>
      </x:c>
      <x:c r="B55" s="92" t="str">
        <x:v>delta decalactone</x:v>
      </x:c>
      <x:c r="C55" s="92" t="str">
        <x:v>Delta Decalactone</x:v>
      </x:c>
      <x:c r="D55" s="92" t="str">
        <x:v>Delta Decalactone</x:v>
      </x:c>
      <x:c r="E55" s="92" t="str">
        <x:v>ADDED</x:v>
      </x:c>
      <x:c r="F55" s="92"/>
      <x:c r="G55" s="92" t="str">
        <x:v>HAVE — NEAT / AS SUPPLIED</x:v>
      </x:c>
      <x:c r="H55" s="92"/>
      <x:c r="I55" s="92" t="str">
        <x:v>Delta Decalactone neat/as supplied</x:v>
      </x:c>
      <x:c r="J55" s="92" t="n">
        <x:v>1</x:v>
      </x:c>
      <x:c r="K55" s="92" t="str">
        <x:v>USER CONFIRMATION • 2026-08-07</x:v>
      </x:c>
      <x:c r="L55" s="92" t="str">
        <x:v>NO</x:v>
      </x:c>
      <x:c r="M55" s="92" t="str">
        <x:v>NO DIRECT SIX-PILOT COUNT CLAIM</x:v>
      </x:c>
      <x:c r="N55" s="92"/>
      <x:c r="O55" s="92" t="str">
        <x:v>User confirmed ownership on 2026-08-07.</x:v>
      </x:c>
    </x:row>
    <x:row r="56">
      <x:c r="A56" s="92" t="n">
        <x:v>55</x:v>
      </x:c>
      <x:c r="B56" s="92" t="str">
        <x:v>maple lactone 20%</x:v>
      </x:c>
      <x:c r="C56" s="92" t="str">
        <x:v>Maple Lactone 20%</x:v>
      </x:c>
      <x:c r="D56" s="92" t="str">
        <x:v>Maple Lactone 20%</x:v>
      </x:c>
      <x:c r="E56" s="92" t="str">
        <x:v>ADDED</x:v>
      </x:c>
      <x:c r="F56" s="92"/>
      <x:c r="G56" s="92" t="str">
        <x:v>HAVE — 20% / CARRIER UNSTATED</x:v>
      </x:c>
      <x:c r="H56" s="92"/>
      <x:c r="I56" s="92" t="str">
        <x:v>Maple Lactone 20%; carrier not stated</x:v>
      </x:c>
      <x:c r="J56" s="92" t="n">
        <x:v>0.2</x:v>
      </x:c>
      <x:c r="K56" s="92" t="str">
        <x:v>USER CONFIRMATION • 2026-08-07</x:v>
      </x:c>
      <x:c r="L56" s="92" t="str">
        <x:v>NO</x:v>
      </x:c>
      <x:c r="M56" s="92" t="str">
        <x:v>NO DIRECT SIX-PILOT COUNT CLAIM</x:v>
      </x:c>
      <x:c r="N56" s="92"/>
      <x:c r="O56" s="92" t="str">
        <x:v>User confirmed ownership on 2026-08-07.</x:v>
      </x:c>
    </x:row>
    <x:row r="57">
      <x:c r="A57" s="92" t="n">
        <x:v>56</x:v>
      </x:c>
      <x:c r="B57" s="92" t="str">
        <x:v>raspberry ketone 20% in DPG w/w</x:v>
      </x:c>
      <x:c r="C57" s="92" t="str">
        <x:v>Raspberry Ketone 20% in DPG</x:v>
      </x:c>
      <x:c r="D57" s="92" t="str">
        <x:v>Raspberry Ketone 20% in DPG</x:v>
      </x:c>
      <x:c r="E57" s="92" t="str">
        <x:v>ADDED</x:v>
      </x:c>
      <x:c r="F57" s="92"/>
      <x:c r="G57" s="92" t="str">
        <x:v>HAVE — 20% W/W IN DPG</x:v>
      </x:c>
      <x:c r="H57" s="92"/>
      <x:c r="I57" s="92" t="str">
        <x:v>Raspberry Ketone 20% w/w in DPG</x:v>
      </x:c>
      <x:c r="J57" s="92" t="n">
        <x:v>0.2</x:v>
      </x:c>
      <x:c r="K57" s="92" t="str">
        <x:v>USER CONFIRMATION • 2026-08-07</x:v>
      </x:c>
      <x:c r="L57" s="92" t="str">
        <x:v>NO</x:v>
      </x:c>
      <x:c r="M57" s="92" t="str">
        <x:v>NO DIRECT SIX-PILOT COUNT CLAIM</x:v>
      </x:c>
      <x:c r="N57" s="92"/>
      <x:c r="O57" s="92" t="str">
        <x:v>User confirmed ownership on 2026-08-07.</x:v>
      </x:c>
    </x:row>
    <x:row r="58">
      <x:c r="A58" s="92" t="n">
        <x:v>57</x:v>
      </x:c>
      <x:c r="B58" s="92" t="str">
        <x:v>dynascone 10% DPG w/w</x:v>
      </x:c>
      <x:c r="C58" s="92" t="str">
        <x:v>Dynascone 10% in DPG</x:v>
      </x:c>
      <x:c r="D58" s="92" t="str">
        <x:v>Dynascone 10% in DPG</x:v>
      </x:c>
      <x:c r="E58" s="92" t="str">
        <x:v>ADDED</x:v>
      </x:c>
      <x:c r="F58" s="92"/>
      <x:c r="G58" s="92" t="str">
        <x:v>HAVE — 10% W/W IN DPG</x:v>
      </x:c>
      <x:c r="H58" s="92"/>
      <x:c r="I58" s="92" t="str">
        <x:v>Dynascone 10% w/w in DPG</x:v>
      </x:c>
      <x:c r="J58" s="92" t="n">
        <x:v>0.1</x:v>
      </x:c>
      <x:c r="K58" s="92" t="str">
        <x:v>USER CONFIRMATION • 2026-08-07</x:v>
      </x:c>
      <x:c r="L58" s="92" t="str">
        <x:v>NO</x:v>
      </x:c>
      <x:c r="M58" s="92" t="str">
        <x:v>NO DIRECT SIX-PILOT COUNT CLAIM</x:v>
      </x:c>
      <x:c r="N58" s="92"/>
      <x:c r="O58" s="92" t="str">
        <x:v>User confirmed ownership on 2026-08-07.</x:v>
      </x:c>
    </x:row>
    <x:row r="59">
      <x:c r="A59" s="92" t="n">
        <x:v>58</x:v>
      </x:c>
      <x:c r="B59" s="92" t="str">
        <x:v>allyl cyclohexyl propinate 10% in DPG</x:v>
      </x:c>
      <x:c r="C59" s="92" t="str">
        <x:v>Allyl Cyclohexyl Propionate 10%</x:v>
      </x:c>
      <x:c r="D59" s="92" t="str">
        <x:v>Allyl Cyclohexyl Propionate 10%</x:v>
      </x:c>
      <x:c r="E59" s="92" t="str">
        <x:v>UPDATED / RECONFIRMED</x:v>
      </x:c>
      <x:c r="F59" s="92" t="str">
        <x:v>HAVE</x:v>
      </x:c>
      <x:c r="G59" s="92" t="str">
        <x:v>HAVE — 10% IN DPG</x:v>
      </x:c>
      <x:c r="H59" s="92" t="str">
        <x:v>10% working stock</x:v>
      </x:c>
      <x:c r="I59" s="92" t="str">
        <x:v>Allyl Cyclohexyl Propionate 10% in DPG</x:v>
      </x:c>
      <x:c r="J59" s="92" t="n">
        <x:v>0.1</x:v>
      </x:c>
      <x:c r="K59" s="92" t="str">
        <x:v>USER CONFIRMATION • 2026-08-07</x:v>
      </x:c>
      <x:c r="L59" s="92" t="str">
        <x:v>NO</x:v>
      </x:c>
      <x:c r="M59" s="92" t="str">
        <x:v>NO DIRECT SIX-PILOT COUNT CLAIM</x:v>
      </x:c>
      <x:c r="N59" s="92" t="str">
        <x:v>User spelling “propinate” normalized to propionate.</x:v>
      </x:c>
      <x:c r="O59" s="92" t="str">
        <x:v>User confirmed ownership on 2026-08-07.</x:v>
      </x:c>
    </x:row>
    <x:row r="60">
      <x:c r="A60" s="92" t="n">
        <x:v>59</x:v>
      </x:c>
      <x:c r="B60" s="92" t="str">
        <x:v>aldehyde 16 ethyl methyl phenyl glycidate</x:v>
      </x:c>
      <x:c r="C60" s="92" t="str">
        <x:v>Aldehyde C16 EMPG 10%</x:v>
      </x:c>
      <x:c r="D60" s="92" t="str">
        <x:v>Aldehyde C16 EMPG 10%</x:v>
      </x:c>
      <x:c r="E60" s="92" t="str">
        <x:v>UPDATED / RECONFIRMED</x:v>
      </x:c>
      <x:c r="F60" s="92" t="str">
        <x:v>HAVE</x:v>
      </x:c>
      <x:c r="G60" s="92" t="str">
        <x:v>HAVE — 10% / IDENTITY KEPT SEPARATE</x:v>
      </x:c>
      <x:c r="H60" s="92" t="str">
        <x:v>10% working dilution</x:v>
      </x:c>
      <x:c r="I60" s="92" t="str">
        <x:v>Aldehyde C16 EMPG 10% working stock</x:v>
      </x:c>
      <x:c r="J60" s="92" t="n">
        <x:v>0.1</x:v>
      </x:c>
      <x:c r="K60" s="92" t="str">
        <x:v>USER CONFIRMATION • 2026-08-07</x:v>
      </x:c>
      <x:c r="L60" s="92" t="str">
        <x:v>NO</x:v>
      </x:c>
      <x:c r="M60" s="92" t="str">
        <x:v>NO DIRECT SIX-PILOT COUNT CLAIM</x:v>
      </x:c>
      <x:c r="N60" s="92" t="str">
        <x:v>Kept separate from Apritone despite combined wording in the user message.</x:v>
      </x:c>
      <x:c r="O60" s="92" t="str">
        <x:v>User confirmed ownership on 2026-08-07.</x:v>
      </x:c>
    </x:row>
    <x:row r="61">
      <x:c r="A61" s="92" t="n">
        <x:v>60</x:v>
      </x:c>
      <x:c r="B61" s="92" t="str">
        <x:v>apritone 10%</x:v>
      </x:c>
      <x:c r="C61" s="92" t="str">
        <x:v>Apritone 10%</x:v>
      </x:c>
      <x:c r="D61" s="92" t="str">
        <x:v>Apritone 10%</x:v>
      </x:c>
      <x:c r="E61" s="92" t="str">
        <x:v>UPDATED / RECONFIRMED</x:v>
      </x:c>
      <x:c r="F61" s="92" t="str">
        <x:v>HAVE</x:v>
      </x:c>
      <x:c r="G61" s="92" t="str">
        <x:v>HAVE — 10% / IDENTITY KEPT SEPARATE</x:v>
      </x:c>
      <x:c r="H61" s="92" t="str">
        <x:v>10% working stock</x:v>
      </x:c>
      <x:c r="I61" s="92" t="str">
        <x:v>Apritone 10% working stock</x:v>
      </x:c>
      <x:c r="J61" s="92" t="n">
        <x:v>0.1</x:v>
      </x:c>
      <x:c r="K61" s="92" t="str">
        <x:v>USER CONFIRMATION • 2026-08-07</x:v>
      </x:c>
      <x:c r="L61" s="92" t="str">
        <x:v>NO</x:v>
      </x:c>
      <x:c r="M61" s="92" t="str">
        <x:v>NO DIRECT SIX-PILOT COUNT CLAIM</x:v>
      </x:c>
      <x:c r="N61" s="92" t="str">
        <x:v>Kept separate from Aldehyde C16 EMPG despite combined wording in the user message.</x:v>
      </x:c>
      <x:c r="O61" s="92" t="str">
        <x:v>User confirmed ownership on 2026-08-07.</x:v>
      </x:c>
    </x:row>
    <x:row r="62">
      <x:c r="A62" s="92" t="n">
        <x:v>61</x:v>
      </x:c>
      <x:c r="B62" s="92" t="str">
        <x:v>verdox</x:v>
      </x:c>
      <x:c r="C62" s="92" t="str">
        <x:v>Verdox</x:v>
      </x:c>
      <x:c r="D62" s="92" t="str">
        <x:v>Verdox</x:v>
      </x:c>
      <x:c r="E62" s="92" t="str">
        <x:v>UPDATED / RECONFIRMED</x:v>
      </x:c>
      <x:c r="F62" s="92" t="str">
        <x:v>HAVE</x:v>
      </x:c>
      <x:c r="G62" s="92" t="str">
        <x:v>HAVE — NEAT</x:v>
      </x:c>
      <x:c r="H62" s="92" t="str">
        <x:v>neat / as supplied</x:v>
      </x:c>
      <x:c r="I62" s="92" t="str">
        <x:v>Verdox neat/as supplied</x:v>
      </x:c>
      <x:c r="J62" s="92" t="n">
        <x:v>1</x:v>
      </x:c>
      <x:c r="K62" s="92" t="str">
        <x:v>USER CONFIRMATION • 2026-08-07</x:v>
      </x:c>
      <x:c r="L62" s="92" t="str">
        <x:v>NO</x:v>
      </x:c>
      <x:c r="M62" s="92" t="str">
        <x:v>NO DIRECT SIX-PILOT COUNT CLAIM</x:v>
      </x:c>
      <x:c r="N62" s="92"/>
      <x:c r="O62" s="92" t="str">
        <x:v>User confirmed ownership on 2026-08-07.</x:v>
      </x:c>
    </x:row>
    <x:row r="63">
      <x:c r="A63" s="92" t="n">
        <x:v>62</x:v>
      </x:c>
      <x:c r="B63" s="92" t="str">
        <x:v>hexyl acetate 1%</x:v>
      </x:c>
      <x:c r="C63" s="92" t="str">
        <x:v>Hexyl Acetate 1%</x:v>
      </x:c>
      <x:c r="D63" s="92" t="str">
        <x:v>Hexyl Acetate 1%</x:v>
      </x:c>
      <x:c r="E63" s="92" t="str">
        <x:v>ADDED</x:v>
      </x:c>
      <x:c r="F63" s="92"/>
      <x:c r="G63" s="92" t="str">
        <x:v>HAVE — 1% / CARRIER UNSTATED</x:v>
      </x:c>
      <x:c r="H63" s="92"/>
      <x:c r="I63" s="92" t="str">
        <x:v>Hexyl Acetate 1%; carrier not stated</x:v>
      </x:c>
      <x:c r="J63" s="92" t="n">
        <x:v>0.01</x:v>
      </x:c>
      <x:c r="K63" s="92" t="str">
        <x:v>USER CONFIRMATION • 2026-08-07</x:v>
      </x:c>
      <x:c r="L63" s="92" t="str">
        <x:v>NO</x:v>
      </x:c>
      <x:c r="M63" s="92" t="str">
        <x:v>NO DIRECT SIX-PILOT COUNT CLAIM</x:v>
      </x:c>
      <x:c r="N63" s="92" t="str">
        <x:v>Same parent as Hexyl Acetate 10%; count once toward complexity.</x:v>
      </x:c>
      <x:c r="O63" s="92" t="str">
        <x:v>User confirmed ownership on 2026-08-07.</x:v>
      </x:c>
    </x:row>
    <x:row r="64">
      <x:c r="A64" s="92" t="n">
        <x:v>63</x:v>
      </x:c>
      <x:c r="B64" s="92" t="str">
        <x:v>d-limonene</x:v>
      </x:c>
      <x:c r="C64" s="92" t="str">
        <x:v>D-Limonene</x:v>
      </x:c>
      <x:c r="D64" s="92" t="str">
        <x:v>D-Limonene</x:v>
      </x:c>
      <x:c r="E64" s="92" t="str">
        <x:v>UPDATED / RECONFIRMED</x:v>
      </x:c>
      <x:c r="F64" s="92" t="str">
        <x:v>HAVE</x:v>
      </x:c>
      <x:c r="G64" s="92" t="str">
        <x:v>HAVE — NEAT</x:v>
      </x:c>
      <x:c r="H64" s="92" t="str">
        <x:v>neat / as supplied</x:v>
      </x:c>
      <x:c r="I64" s="92" t="str">
        <x:v>D-Limonene neat/as supplied</x:v>
      </x:c>
      <x:c r="J64" s="92" t="n">
        <x:v>1</x:v>
      </x:c>
      <x:c r="K64" s="92" t="str">
        <x:v>USER CONFIRMATION • 2026-08-07</x:v>
      </x:c>
      <x:c r="L64" s="92" t="str">
        <x:v>NO</x:v>
      </x:c>
      <x:c r="M64" s="92" t="str">
        <x:v>NO DIRECT SIX-PILOT COUNT CLAIM</x:v>
      </x:c>
      <x:c r="N64" s="92"/>
      <x:c r="O64" s="92" t="str">
        <x:v>User confirmed ownership on 2026-08-07.</x:v>
      </x:c>
    </x:row>
    <x:row r="65">
      <x:c r="A65" s="92" t="n">
        <x:v>64</x:v>
      </x:c>
      <x:c r="B65" s="92" t="str">
        <x:v>pine eo</x:v>
      </x:c>
      <x:c r="C65" s="92" t="str">
        <x:v>Pine EO</x:v>
      </x:c>
      <x:c r="D65" s="92" t="str">
        <x:v>Pine EO</x:v>
      </x:c>
      <x:c r="E65" s="92" t="str">
        <x:v>UPDATED / RECONFIRMED</x:v>
      </x:c>
      <x:c r="F65" s="92" t="str">
        <x:v>HAVE</x:v>
      </x:c>
      <x:c r="G65" s="92" t="str">
        <x:v>HAVE — NEAT / LOT DETAIL OPEN</x:v>
      </x:c>
      <x:c r="H65" s="92" t="str">
        <x:v>neat / as supplied</x:v>
      </x:c>
      <x:c r="I65" s="92" t="str">
        <x:v>Pine EO neat/as supplied; botanical and lot details not yet recorded</x:v>
      </x:c>
      <x:c r="J65" s="92" t="n">
        <x:v>1</x:v>
      </x:c>
      <x:c r="K65" s="92" t="str">
        <x:v>USER CONFIRMATION • 2026-08-07</x:v>
      </x:c>
      <x:c r="L65" s="92" t="str">
        <x:v>NO</x:v>
      </x:c>
      <x:c r="M65" s="92" t="str">
        <x:v>NO DIRECT SIX-PILOT COUNT CLAIM</x:v>
      </x:c>
      <x:c r="N65" s="92"/>
      <x:c r="O65" s="92" t="str">
        <x:v>User confirmed ownership on 2026-08-07.</x:v>
      </x:c>
    </x:row>
    <x:row r="66">
      <x:c r="A66" s="92" t="n">
        <x:v>65</x:v>
      </x:c>
      <x:c r="B66" s="92" t="str">
        <x:v>evernyl 20% in DPG</x:v>
      </x:c>
      <x:c r="C66" s="92" t="str">
        <x:v>Evernyl 20%</x:v>
      </x:c>
      <x:c r="D66" s="92" t="str">
        <x:v>Evernyl 20%</x:v>
      </x:c>
      <x:c r="E66" s="92" t="str">
        <x:v>UPDATED / RECONFIRMED</x:v>
      </x:c>
      <x:c r="F66" s="92" t="str">
        <x:v>HAVE — SUSPENSION / MIXTURE</x:v>
      </x:c>
      <x:c r="G66" s="92" t="str">
        <x:v>HAVE — NOMINAL 20% IN DPG / HETEROGENEOUS</x:v>
      </x:c>
      <x:c r="H66" s="92" t="str">
        <x:v>Evernyl nominal 20% in DPG; not a true solution</x:v>
      </x:c>
      <x:c r="I66" s="92" t="str">
        <x:v>Evernyl nominal 20% in DPG; suspension/heterogeneous stock requiring mixing</x:v>
      </x:c>
      <x:c r="J66" s="92" t="n">
        <x:v>0.2</x:v>
      </x:c>
      <x:c r="K66" s="92" t="str">
        <x:v>USER CONFIRMATION • 2026-08-07</x:v>
      </x:c>
      <x:c r="L66" s="92" t="str">
        <x:v>NO</x:v>
      </x:c>
      <x:c r="M66" s="92" t="str">
        <x:v>NO DIRECT SIX-PILOT COUNT CLAIM</x:v>
      </x:c>
      <x:c r="N66" s="92"/>
      <x:c r="O66" s="92" t="str">
        <x:v>User confirmed ownership on 2026-08-07.</x:v>
      </x:c>
    </x:row>
    <x:row r="67">
      <x:c r="A67" s="92" t="n">
        <x:v>66</x:v>
      </x:c>
      <x:c r="B67" s="92" t="str">
        <x:v>cis-3-hexenol 1%</x:v>
      </x:c>
      <x:c r="C67" s="92" t="str">
        <x:v>cis-3-Hexenol 1%</x:v>
      </x:c>
      <x:c r="D67" s="92" t="str">
        <x:v>cis-3-Hexenol 1%</x:v>
      </x:c>
      <x:c r="E67" s="92" t="str">
        <x:v>UPDATED / RECONFIRMED</x:v>
      </x:c>
      <x:c r="F67" s="92" t="str">
        <x:v>HAVE</x:v>
      </x:c>
      <x:c r="G67" s="92" t="str">
        <x:v>HAVE — 1%</x:v>
      </x:c>
      <x:c r="H67" s="92" t="str">
        <x:v>1% working stock</x:v>
      </x:c>
      <x:c r="I67" s="92" t="str">
        <x:v>cis-3-Hexenol 1% working stock</x:v>
      </x:c>
      <x:c r="J67" s="92" t="n">
        <x:v>0.01</x:v>
      </x:c>
      <x:c r="K67" s="92" t="str">
        <x:v>USER CONFIRMATION • 2026-08-07</x:v>
      </x:c>
      <x:c r="L67" s="92" t="str">
        <x:v>NO</x:v>
      </x:c>
      <x:c r="M67" s="92" t="str">
        <x:v>NO DIRECT SIX-PILOT COUNT CLAIM</x:v>
      </x:c>
      <x:c r="N67" s="92"/>
      <x:c r="O67" s="92" t="str">
        <x:v>User confirmed ownership on 2026-08-07.</x:v>
      </x:c>
    </x:row>
    <x:row r="68">
      <x:c r="A68" s="92" t="n">
        <x:v>67</x:v>
      </x:c>
      <x:c r="B68" s="92" t="str">
        <x:v>triplal</x:v>
      </x:c>
      <x:c r="C68" s="92" t="str">
        <x:v>Triplal</x:v>
      </x:c>
      <x:c r="D68" s="92" t="str">
        <x:v>Triplal</x:v>
      </x:c>
      <x:c r="E68" s="92" t="str">
        <x:v>ADDED</x:v>
      </x:c>
      <x:c r="F68" s="92"/>
      <x:c r="G68" s="92" t="str">
        <x:v>HAVE — NEAT / AS SUPPLIED</x:v>
      </x:c>
      <x:c r="H68" s="92"/>
      <x:c r="I68" s="92" t="str">
        <x:v>Triplal neat/as supplied</x:v>
      </x:c>
      <x:c r="J68" s="92" t="n">
        <x:v>1</x:v>
      </x:c>
      <x:c r="K68" s="92" t="str">
        <x:v>USER CONFIRMATION • 2026-08-07</x:v>
      </x:c>
      <x:c r="L68" s="92" t="str">
        <x:v>NO</x:v>
      </x:c>
      <x:c r="M68" s="92" t="str">
        <x:v>NO DIRECT SIX-PILOT COUNT CLAIM</x:v>
      </x:c>
      <x:c r="N68" s="92"/>
      <x:c r="O68" s="92" t="str">
        <x:v>User confirmed ownership on 2026-08-07.</x:v>
      </x:c>
    </x:row>
    <x:row r="69">
      <x:c r="A69" s="92" t="n">
        <x:v>68</x:v>
      </x:c>
      <x:c r="B69" s="92" t="str">
        <x:v>peonile</x:v>
      </x:c>
      <x:c r="C69" s="92" t="str">
        <x:v>Peonile</x:v>
      </x:c>
      <x:c r="D69" s="92" t="str">
        <x:v>Peonile</x:v>
      </x:c>
      <x:c r="E69" s="92" t="str">
        <x:v>ADDED</x:v>
      </x:c>
      <x:c r="F69" s="92"/>
      <x:c r="G69" s="92" t="str">
        <x:v>HAVE — NEAT / AS SUPPLIED</x:v>
      </x:c>
      <x:c r="H69" s="92"/>
      <x:c r="I69" s="92" t="str">
        <x:v>Peonile neat/as supplied</x:v>
      </x:c>
      <x:c r="J69" s="92" t="n">
        <x:v>1</x:v>
      </x:c>
      <x:c r="K69" s="92" t="str">
        <x:v>USER CONFIRMATION • 2026-08-07</x:v>
      </x:c>
      <x:c r="L69" s="92" t="str">
        <x:v>NO</x:v>
      </x:c>
      <x:c r="M69" s="92" t="str">
        <x:v>NO DIRECT SIX-PILOT COUNT CLAIM</x:v>
      </x:c>
      <x:c r="N69" s="92"/>
      <x:c r="O69" s="92" t="str">
        <x:v>User confirmed ownership on 2026-08-07.</x:v>
      </x:c>
    </x:row>
    <x:row r="70">
      <x:c r="A70" s="92" t="n">
        <x:v>69</x:v>
      </x:c>
      <x:c r="B70" s="92" t="str">
        <x:v>damascol</x:v>
      </x:c>
      <x:c r="C70" s="92" t="str">
        <x:v>Damascol</x:v>
      </x:c>
      <x:c r="D70" s="92" t="str">
        <x:v>Damascol</x:v>
      </x:c>
      <x:c r="E70" s="92" t="str">
        <x:v>ADDED</x:v>
      </x:c>
      <x:c r="F70" s="92"/>
      <x:c r="G70" s="92" t="str">
        <x:v>HAVE — NEAT / AS SUPPLIED</x:v>
      </x:c>
      <x:c r="H70" s="92"/>
      <x:c r="I70" s="92" t="str">
        <x:v>Damascol neat/as supplied</x:v>
      </x:c>
      <x:c r="J70" s="92" t="n">
        <x:v>1</x:v>
      </x:c>
      <x:c r="K70" s="92" t="str">
        <x:v>USER CONFIRMATION • 2026-08-07</x:v>
      </x:c>
      <x:c r="L70" s="92" t="str">
        <x:v>NO</x:v>
      </x:c>
      <x:c r="M70" s="92" t="str">
        <x:v>NO DIRECT SIX-PILOT COUNT CLAIM</x:v>
      </x:c>
      <x:c r="N70" s="92"/>
      <x:c r="O70" s="92" t="str">
        <x:v>User confirmed ownership on 2026-08-07.</x:v>
      </x:c>
    </x:row>
    <x:row r="71">
      <x:c r="A71" s="92" t="n">
        <x:v>70</x:v>
      </x:c>
      <x:c r="B71" s="92" t="str">
        <x:v>beta damascone</x:v>
      </x:c>
      <x:c r="C71" s="92" t="str">
        <x:v>Beta Damascone 10%</x:v>
      </x:c>
      <x:c r="D71" s="92" t="str">
        <x:v>Beta Damascone 10%</x:v>
      </x:c>
      <x:c r="E71" s="92" t="str">
        <x:v>UPDATED / RECONFIRMED</x:v>
      </x:c>
      <x:c r="F71" s="92" t="str">
        <x:v>HAVE</x:v>
      </x:c>
      <x:c r="G71" s="92" t="str">
        <x:v>HAVE — NEAT + 10%</x:v>
      </x:c>
      <x:c r="H71" s="92" t="str">
        <x:v>10% working stock</x:v>
      </x:c>
      <x:c r="I71" s="92" t="str">
        <x:v>Beta Damascone neat/as supplied; Beta Damascone 10% working stock</x:v>
      </x:c>
      <x:c r="J71" s="92" t="n">
        <x:v>0.1</x:v>
      </x:c>
      <x:c r="K71" s="92" t="str">
        <x:v>USER CONFIRMATION • 2026-08-07</x:v>
      </x:c>
      <x:c r="L71" s="92" t="str">
        <x:v>NO</x:v>
      </x:c>
      <x:c r="M71" s="92" t="str">
        <x:v>NO DIRECT SIX-PILOT COUNT CLAIM</x:v>
      </x:c>
      <x:c r="N71" s="92"/>
      <x:c r="O71" s="92" t="str">
        <x:v>User confirmed ownership on 2026-08-07.</x:v>
      </x:c>
    </x:row>
    <x:row r="72">
      <x:c r="A72" s="92" t="n">
        <x:v>71</x:v>
      </x:c>
      <x:c r="B72" s="92" t="str">
        <x:v>alpha damascone</x:v>
      </x:c>
      <x:c r="C72" s="92" t="str">
        <x:v>Alpha Damascone</x:v>
      </x:c>
      <x:c r="D72" s="92" t="str">
        <x:v>Alpha Damascone</x:v>
      </x:c>
      <x:c r="E72" s="92" t="str">
        <x:v>ADDED</x:v>
      </x:c>
      <x:c r="F72" s="92"/>
      <x:c r="G72" s="92" t="str">
        <x:v>HAVE — NEAT / AS SUPPLIED</x:v>
      </x:c>
      <x:c r="H72" s="92"/>
      <x:c r="I72" s="92" t="str">
        <x:v>Alpha Damascone neat/as supplied</x:v>
      </x:c>
      <x:c r="J72" s="92" t="n">
        <x:v>1</x:v>
      </x:c>
      <x:c r="K72" s="92" t="str">
        <x:v>USER CONFIRMATION • 2026-08-07</x:v>
      </x:c>
      <x:c r="L72" s="92" t="str">
        <x:v>NO</x:v>
      </x:c>
      <x:c r="M72" s="92" t="str">
        <x:v>NO DIRECT SIX-PILOT COUNT CLAIM</x:v>
      </x:c>
      <x:c r="N72" s="92"/>
      <x:c r="O72" s="92" t="str">
        <x:v>User confirmed ownership on 2026-08-07.</x:v>
      </x:c>
    </x:row>
    <x:row r="73">
      <x:c r="A73" s="92" t="n">
        <x:v>72</x:v>
      </x:c>
      <x:c r="B73" s="92" t="str">
        <x:v>rhodinol ex citronella</x:v>
      </x:c>
      <x:c r="C73" s="92" t="str">
        <x:v>Rhodinol ex Citronella</x:v>
      </x:c>
      <x:c r="D73" s="92" t="str">
        <x:v>Rhodinol ex Citronella</x:v>
      </x:c>
      <x:c r="E73" s="92" t="str">
        <x:v>ADDED</x:v>
      </x:c>
      <x:c r="F73" s="92"/>
      <x:c r="G73" s="92" t="str">
        <x:v>HAVE — NATURAL FRACTION / PRODUCT BASIS</x:v>
      </x:c>
      <x:c r="H73" s="92"/>
      <x:c r="I73" s="92" t="str">
        <x:v>Rhodinol ex Citronella as supplied; exact composition and lot not stated</x:v>
      </x:c>
      <x:c r="J73" s="92"/>
      <x:c r="K73" s="92" t="str">
        <x:v>USER CONFIRMATION • 2026-08-07</x:v>
      </x:c>
      <x:c r="L73" s="92" t="str">
        <x:v>NO</x:v>
      </x:c>
      <x:c r="M73" s="92" t="str">
        <x:v>NO DIRECT SIX-PILOT COUNT CLAIM</x:v>
      </x:c>
      <x:c r="N73" s="92" t="str">
        <x:v>Natural fraction/product basis; do not reduce to one molecule.</x:v>
      </x:c>
      <x:c r="O73" s="92" t="str">
        <x:v>User confirmed ownership on 2026-08-07.</x:v>
      </x:c>
    </x:row>
    <x:row r="74">
      <x:c r="A74" s="92" t="n">
        <x:v>73</x:v>
      </x:c>
      <x:c r="B74" s="92" t="str">
        <x:v>citronellol</x:v>
      </x:c>
      <x:c r="C74" s="92" t="str">
        <x:v>Citronellol 10%</x:v>
      </x:c>
      <x:c r="D74" s="92" t="str">
        <x:v>Citronellol 10%</x:v>
      </x:c>
      <x:c r="E74" s="92" t="str">
        <x:v>UPDATED / RECONFIRMED</x:v>
      </x:c>
      <x:c r="F74" s="92" t="str">
        <x:v>HAVE — NEAT ONLY</x:v>
      </x:c>
      <x:c r="G74" s="92" t="str">
        <x:v>HAVE — NEAT</x:v>
      </x:c>
      <x:c r="H74" s="92" t="str">
        <x:v>Citronellol neat</x:v>
      </x:c>
      <x:c r="I74" s="92" t="str">
        <x:v>Citronellol neat/as supplied</x:v>
      </x:c>
      <x:c r="J74" s="92" t="n">
        <x:v>1</x:v>
      </x:c>
      <x:c r="K74" s="92" t="str">
        <x:v>USER CONFIRMATION • 2026-08-07</x:v>
      </x:c>
      <x:c r="L74" s="92" t="str">
        <x:v>NO</x:v>
      </x:c>
      <x:c r="M74" s="92" t="str">
        <x:v>NO DIRECT SIX-PILOT COUNT CLAIM</x:v>
      </x:c>
      <x:c r="N74" s="92"/>
      <x:c r="O74" s="92" t="str">
        <x:v>User confirmed ownership on 2026-08-07.</x:v>
      </x:c>
    </x:row>
    <x:row r="75">
      <x:c r="A75" s="92" t="n">
        <x:v>74</x:v>
      </x:c>
      <x:c r="B75" s="92" t="str">
        <x:v>citronellal</x:v>
      </x:c>
      <x:c r="C75" s="92" t="str">
        <x:v>Citronellal</x:v>
      </x:c>
      <x:c r="D75" s="92" t="str">
        <x:v>Citronellal</x:v>
      </x:c>
      <x:c r="E75" s="92" t="str">
        <x:v>ADDED</x:v>
      </x:c>
      <x:c r="F75" s="92"/>
      <x:c r="G75" s="92" t="str">
        <x:v>HAVE — NEAT / AS SUPPLIED</x:v>
      </x:c>
      <x:c r="H75" s="92"/>
      <x:c r="I75" s="92" t="str">
        <x:v>Citronellal neat/as supplied</x:v>
      </x:c>
      <x:c r="J75" s="92" t="n">
        <x:v>1</x:v>
      </x:c>
      <x:c r="K75" s="92" t="str">
        <x:v>USER CONFIRMATION • 2026-08-07</x:v>
      </x:c>
      <x:c r="L75" s="92" t="str">
        <x:v>NO</x:v>
      </x:c>
      <x:c r="M75" s="92" t="str">
        <x:v>NO DIRECT SIX-PILOT COUNT CLAIM</x:v>
      </x:c>
      <x:c r="N75" s="92"/>
      <x:c r="O75" s="92" t="str">
        <x:v>User confirmed ownership on 2026-08-07.</x:v>
      </x:c>
    </x:row>
    <x:row r="76">
      <x:c r="A76" s="92" t="n">
        <x:v>75</x:v>
      </x:c>
      <x:c r="B76" s="92" t="str">
        <x:v>phenyl ethyl acetate</x:v>
      </x:c>
      <x:c r="C76" s="92" t="str">
        <x:v>Phenethyl Acetate</x:v>
      </x:c>
      <x:c r="D76" s="92" t="str">
        <x:v>Phenethyl Acetate</x:v>
      </x:c>
      <x:c r="E76" s="92" t="str">
        <x:v>ADDED</x:v>
      </x:c>
      <x:c r="F76" s="92"/>
      <x:c r="G76" s="92" t="str">
        <x:v>HAVE — NEAT / AS SUPPLIED</x:v>
      </x:c>
      <x:c r="H76" s="92"/>
      <x:c r="I76" s="92" t="str">
        <x:v>Phenethyl Acetate neat/as supplied</x:v>
      </x:c>
      <x:c r="J76" s="92" t="n">
        <x:v>1</x:v>
      </x:c>
      <x:c r="K76" s="92" t="str">
        <x:v>USER CONFIRMATION • 2026-08-07</x:v>
      </x:c>
      <x:c r="L76" s="92" t="str">
        <x:v>NO</x:v>
      </x:c>
      <x:c r="M76" s="92" t="str">
        <x:v>NO DIRECT SIX-PILOT COUNT CLAIM</x:v>
      </x:c>
      <x:c r="N76" s="92"/>
      <x:c r="O76" s="92" t="str">
        <x:v>User confirmed ownership on 2026-08-07.</x:v>
      </x:c>
    </x:row>
    <x:row r="77">
      <x:c r="A77" s="92" t="n">
        <x:v>76</x:v>
      </x:c>
      <x:c r="B77" s="92" t="str">
        <x:v>phenyl ethyl alcohol</x:v>
      </x:c>
      <x:c r="C77" s="92" t="str">
        <x:v>Phenethyl Alcohol</x:v>
      </x:c>
      <x:c r="D77" s="92" t="str">
        <x:v>Phenethyl Alcohol</x:v>
      </x:c>
      <x:c r="E77" s="92" t="str">
        <x:v>UPDATED / RECONFIRMED</x:v>
      </x:c>
      <x:c r="F77" s="92" t="str">
        <x:v>HAVE</x:v>
      </x:c>
      <x:c r="G77" s="92" t="str">
        <x:v>HAVE — NEAT</x:v>
      </x:c>
      <x:c r="H77" s="92" t="str">
        <x:v>neat / as supplied</x:v>
      </x:c>
      <x:c r="I77" s="92" t="str">
        <x:v>Phenethyl Alcohol neat/as supplied</x:v>
      </x:c>
      <x:c r="J77" s="92" t="n">
        <x:v>1</x:v>
      </x:c>
      <x:c r="K77" s="92" t="str">
        <x:v>USER CONFIRMATION • 2026-08-07</x:v>
      </x:c>
      <x:c r="L77" s="92" t="str">
        <x:v>NO</x:v>
      </x:c>
      <x:c r="M77" s="92" t="str">
        <x:v>NO DIRECT SIX-PILOT COUNT CLAIM</x:v>
      </x:c>
      <x:c r="N77" s="92"/>
      <x:c r="O77" s="92" t="str">
        <x:v>User confirmed ownership on 2026-08-07.</x:v>
      </x:c>
    </x:row>
    <x:row r="78">
      <x:c r="A78" s="92" t="n">
        <x:v>77</x:v>
      </x:c>
      <x:c r="B78" s="92" t="str">
        <x:v>geraniol</x:v>
      </x:c>
      <x:c r="C78" s="92" t="str">
        <x:v>Geraniol 10%</x:v>
      </x:c>
      <x:c r="D78" s="92" t="str">
        <x:v>Geraniol 10%</x:v>
      </x:c>
      <x:c r="E78" s="92" t="str">
        <x:v>UPDATED / RECONFIRMED</x:v>
      </x:c>
      <x:c r="F78" s="92" t="str">
        <x:v>HAVE</x:v>
      </x:c>
      <x:c r="G78" s="92" t="str">
        <x:v>HAVE — NEAT + 10%</x:v>
      </x:c>
      <x:c r="H78" s="92" t="str">
        <x:v>10% working stock</x:v>
      </x:c>
      <x:c r="I78" s="92" t="str">
        <x:v>Geraniol neat/as supplied; Geraniol 10% working stock</x:v>
      </x:c>
      <x:c r="J78" s="92" t="n">
        <x:v>0.1</x:v>
      </x:c>
      <x:c r="K78" s="92" t="str">
        <x:v>USER CONFIRMATION • 2026-08-07</x:v>
      </x:c>
      <x:c r="L78" s="92" t="str">
        <x:v>NO</x:v>
      </x:c>
      <x:c r="M78" s="92" t="str">
        <x:v>NO DIRECT SIX-PILOT COUNT CLAIM</x:v>
      </x:c>
      <x:c r="N78" s="92"/>
      <x:c r="O78" s="92" t="str">
        <x:v>User confirmed ownership on 2026-08-07.</x:v>
      </x:c>
    </x:row>
    <x:row r="79">
      <x:c r="A79" s="92" t="n">
        <x:v>78</x:v>
      </x:c>
      <x:c r="B79" s="92" t="str">
        <x:v>gamma nonalactone 10%</x:v>
      </x:c>
      <x:c r="C79" s="92" t="str">
        <x:v>Gamma Nonalactone 10%</x:v>
      </x:c>
      <x:c r="D79" s="92" t="str">
        <x:v>Gamma Nonalactone 10%</x:v>
      </x:c>
      <x:c r="E79" s="92" t="str">
        <x:v>ADDED</x:v>
      </x:c>
      <x:c r="F79" s="92"/>
      <x:c r="G79" s="92" t="str">
        <x:v>HAVE — 10% / CARRIER UNSTATED</x:v>
      </x:c>
      <x:c r="H79" s="92"/>
      <x:c r="I79" s="92" t="str">
        <x:v>Gamma Nonalactone 10%; carrier not stated</x:v>
      </x:c>
      <x:c r="J79" s="92" t="n">
        <x:v>0.1</x:v>
      </x:c>
      <x:c r="K79" s="92" t="str">
        <x:v>USER CONFIRMATION • 2026-08-07</x:v>
      </x:c>
      <x:c r="L79" s="92" t="str">
        <x:v>NO</x:v>
      </x:c>
      <x:c r="M79" s="92" t="str">
        <x:v>NO DIRECT SIX-PILOT COUNT CLAIM</x:v>
      </x:c>
      <x:c r="N79" s="92"/>
      <x:c r="O79" s="92" t="str">
        <x:v>User confirmed ownership on 2026-08-07.</x:v>
      </x:c>
    </x:row>
    <x:row r="80">
      <x:c r="A80" s="92" t="n">
        <x:v>79</x:v>
      </x:c>
      <x:c r="B80" s="92" t="str">
        <x:v>isobutavan</x:v>
      </x:c>
      <x:c r="C80" s="92" t="str">
        <x:v>Isobutavan</x:v>
      </x:c>
      <x:c r="D80" s="92" t="str">
        <x:v>Isobutavan</x:v>
      </x:c>
      <x:c r="E80" s="92" t="str">
        <x:v>UPDATED / RECONFIRMED</x:v>
      </x:c>
      <x:c r="F80" s="92" t="str">
        <x:v>HAVE</x:v>
      </x:c>
      <x:c r="G80" s="92" t="str">
        <x:v>HAVE — NEAT / AS SUPPLIED</x:v>
      </x:c>
      <x:c r="H80" s="92" t="str">
        <x:v>as supplied</x:v>
      </x:c>
      <x:c r="I80" s="92" t="str">
        <x:v>Isobutavan neat/as supplied</x:v>
      </x:c>
      <x:c r="J80" s="92" t="n">
        <x:v>1</x:v>
      </x:c>
      <x:c r="K80" s="92" t="str">
        <x:v>USER CONFIRMATION • 2026-08-07</x:v>
      </x:c>
      <x:c r="L80" s="92" t="str">
        <x:v>NO</x:v>
      </x:c>
      <x:c r="M80" s="92" t="str">
        <x:v>NO DIRECT SIX-PILOT COUNT CLAIM</x:v>
      </x:c>
      <x:c r="N80" s="92"/>
      <x:c r="O80" s="92" t="str">
        <x:v>User confirmed ownership on 2026-08-07.</x:v>
      </x:c>
    </x:row>
    <x:row r="81">
      <x:c r="A81" s="92" t="n">
        <x:v>80</x:v>
      </x:c>
      <x:c r="B81" s="92" t="str">
        <x:v>ethyl vanillin</x:v>
      </x:c>
      <x:c r="C81" s="92" t="str">
        <x:v>Ethyl Vanillin 10%</x:v>
      </x:c>
      <x:c r="D81" s="92" t="str">
        <x:v>Ethyl Vanillin 10%</x:v>
      </x:c>
      <x:c r="E81" s="92" t="str">
        <x:v>UPDATED / RECONFIRMED</x:v>
      </x:c>
      <x:c r="F81" s="92" t="str">
        <x:v>HAVE</x:v>
      </x:c>
      <x:c r="G81" s="92" t="str">
        <x:v>HAVE — NEAT + 10% IN DPG</x:v>
      </x:c>
      <x:c r="H81" s="92" t="str">
        <x:v>10% in DPG</x:v>
      </x:c>
      <x:c r="I81" s="92" t="str">
        <x:v>Ethyl Vanillin neat/as supplied; Ethyl Vanillin 10% in DPG</x:v>
      </x:c>
      <x:c r="J81" s="92" t="n">
        <x:v>0.1</x:v>
      </x:c>
      <x:c r="K81" s="92" t="str">
        <x:v>USER CONFIRMATION • 2026-08-07</x:v>
      </x:c>
      <x:c r="L81" s="92" t="str">
        <x:v>NO</x:v>
      </x:c>
      <x:c r="M81" s="92" t="str">
        <x:v>NO DIRECT SIX-PILOT COUNT CLAIM</x:v>
      </x:c>
      <x:c r="N81" s="92"/>
      <x:c r="O81" s="92" t="str">
        <x:v>User confirmed ownership on 2026-08-07.</x:v>
      </x:c>
    </x:row>
    <x:row r="82">
      <x:c r="A82" s="92" t="n">
        <x:v>81</x:v>
      </x:c>
      <x:c r="B82" s="92" t="str">
        <x:v>tobacco absolute 10% w/w dpg</x:v>
      </x:c>
      <x:c r="C82" s="92" t="str">
        <x:v>Tobacco Absolute 10%</x:v>
      </x:c>
      <x:c r="D82" s="92" t="str">
        <x:v>Tobacco Absolute 10%</x:v>
      </x:c>
      <x:c r="E82" s="92" t="str">
        <x:v>UPDATED / RECONFIRMED</x:v>
      </x:c>
      <x:c r="F82" s="92" t="str">
        <x:v>HAVE</x:v>
      </x:c>
      <x:c r="G82" s="92" t="str">
        <x:v>HAVE — 10% W/W IN DPG</x:v>
      </x:c>
      <x:c r="H82" s="92" t="str">
        <x:v>10% in DPG</x:v>
      </x:c>
      <x:c r="I82" s="92" t="str">
        <x:v>Tobacco Absolute 10% w/w in DPG</x:v>
      </x:c>
      <x:c r="J82" s="92" t="n">
        <x:v>0.1</x:v>
      </x:c>
      <x:c r="K82" s="92" t="str">
        <x:v>USER CONFIRMATION • 2026-08-07</x:v>
      </x:c>
      <x:c r="L82" s="92" t="str">
        <x:v>NO</x:v>
      </x:c>
      <x:c r="M82" s="92" t="str">
        <x:v>NO DIRECT SIX-PILOT COUNT CLAIM</x:v>
      </x:c>
      <x:c r="N82" s="92"/>
      <x:c r="O82" s="92" t="str">
        <x:v>User confirmed ownership on 2026-08-07.</x:v>
      </x:c>
    </x:row>
    <x:row r="83">
      <x:c r="A83" s="92" t="n">
        <x:v>82</x:v>
      </x:c>
      <x:c r="B83" s="92" t="str">
        <x:v>caraway seed oil 10% w/w DPG</x:v>
      </x:c>
      <x:c r="C83" s="92" t="str">
        <x:v>Caraway Seed EO 10% in DPG</x:v>
      </x:c>
      <x:c r="D83" s="92" t="str">
        <x:v>Caraway Seed EO 10% in DPG</x:v>
      </x:c>
      <x:c r="E83" s="92" t="str">
        <x:v>UPDATED / RECONFIRMED</x:v>
      </x:c>
      <x:c r="F83" s="92" t="str">
        <x:v>HAVE</x:v>
      </x:c>
      <x:c r="G83" s="92" t="str">
        <x:v>HAVE — 10% W/W IN DPG</x:v>
      </x:c>
      <x:c r="H83" s="92" t="str">
        <x:v>10% in DPG</x:v>
      </x:c>
      <x:c r="I83" s="92" t="str">
        <x:v>Caraway Seed EO 10% w/w in DPG</x:v>
      </x:c>
      <x:c r="J83" s="92" t="n">
        <x:v>0.1</x:v>
      </x:c>
      <x:c r="K83" s="92" t="str">
        <x:v>USER CONFIRMATION • 2026-08-07</x:v>
      </x:c>
      <x:c r="L83" s="92" t="str">
        <x:v>NO</x:v>
      </x:c>
      <x:c r="M83" s="92" t="str">
        <x:v>NO DIRECT SIX-PILOT COUNT CLAIM</x:v>
      </x:c>
      <x:c r="N83" s="92"/>
      <x:c r="O83" s="92" t="str">
        <x:v>User confirmed ownership on 2026-08-07.</x:v>
      </x:c>
    </x:row>
    <x:row r="84">
      <x:c r="A84" s="92" t="n">
        <x:v>83</x:v>
      </x:c>
      <x:c r="B84" s="92" t="str">
        <x:v>blue chamomile EO</x:v>
      </x:c>
      <x:c r="C84" s="92" t="str">
        <x:v>Blue Chamomile EO</x:v>
      </x:c>
      <x:c r="D84" s="92" t="str">
        <x:v>Blue Chamomile EO</x:v>
      </x:c>
      <x:c r="E84" s="92" t="str">
        <x:v>UPDATED / RECONFIRMED</x:v>
      </x:c>
      <x:c r="F84" s="92" t="str">
        <x:v>HAVE</x:v>
      </x:c>
      <x:c r="G84" s="92" t="str">
        <x:v>HAVE — NEAT / LOT DETAIL OPEN</x:v>
      </x:c>
      <x:c r="H84" s="92" t="str">
        <x:v>neat/as supplied</x:v>
      </x:c>
      <x:c r="I84" s="92" t="str">
        <x:v>Blue Chamomile EO neat/as supplied; lot details not yet recorded</x:v>
      </x:c>
      <x:c r="J84" s="92" t="n">
        <x:v>1</x:v>
      </x:c>
      <x:c r="K84" s="92" t="str">
        <x:v>USER CONFIRMATION • 2026-08-07</x:v>
      </x:c>
      <x:c r="L84" s="92" t="str">
        <x:v>NO</x:v>
      </x:c>
      <x:c r="M84" s="92" t="str">
        <x:v>NO DIRECT SIX-PILOT COUNT CLAIM</x:v>
      </x:c>
      <x:c r="N84" s="92"/>
      <x:c r="O84" s="92" t="str">
        <x:v>User confirmed ownership on 2026-08-07.</x:v>
      </x:c>
    </x:row>
    <x:row r="85">
      <x:c r="A85" s="92" t="n">
        <x:v>84</x:v>
      </x:c>
      <x:c r="B85" s="92" t="str">
        <x:v>IBQ 10%</x:v>
      </x:c>
      <x:c r="C85" s="92" t="str">
        <x:v>IBQ 10%</x:v>
      </x:c>
      <x:c r="D85" s="92" t="str">
        <x:v>IBQ 10%</x:v>
      </x:c>
      <x:c r="E85" s="92" t="str">
        <x:v>UPDATED / RECONFIRMED</x:v>
      </x:c>
      <x:c r="F85" s="92" t="str">
        <x:v>HAVE</x:v>
      </x:c>
      <x:c r="G85" s="92" t="str">
        <x:v>HAVE — 10%</x:v>
      </x:c>
      <x:c r="H85" s="92" t="str">
        <x:v>10% working dilution</x:v>
      </x:c>
      <x:c r="I85" s="92" t="str">
        <x:v>IBQ 10% working stock; carrier not restated</x:v>
      </x:c>
      <x:c r="J85" s="92" t="n">
        <x:v>0.1</x:v>
      </x:c>
      <x:c r="K85" s="92" t="str">
        <x:v>USER CONFIRMATION • 2026-08-07</x:v>
      </x:c>
      <x:c r="L85" s="92" t="str">
        <x:v>NO</x:v>
      </x:c>
      <x:c r="M85" s="92" t="str">
        <x:v>NO DIRECT SIX-PILOT COUNT CLAIM</x:v>
      </x:c>
      <x:c r="N85" s="92"/>
      <x:c r="O85" s="92" t="str">
        <x:v>User confirmed ownership on 2026-08-07.</x:v>
      </x:c>
    </x:row>
    <x:row r="86">
      <x:c r="A86" s="92" t="n">
        <x:v>85</x:v>
      </x:c>
      <x:c r="B86" s="92" t="str">
        <x:v>vietnamese benzoin styrax tonkinesis resin ethanol tincture 20%</x:v>
      </x:c>
      <x:c r="C86" s="92" t="str">
        <x:v>Vietnamese Benzoin Tincture</x:v>
      </x:c>
      <x:c r="D86" s="92" t="str">
        <x:v>Vietnamese Benzoin Tincture</x:v>
      </x:c>
      <x:c r="E86" s="92" t="str">
        <x:v>UPDATED / RECONFIRMED</x:v>
      </x:c>
      <x:c r="F86" s="92" t="str">
        <x:v>HAVE</x:v>
      </x:c>
      <x:c r="G86" s="92" t="str">
        <x:v>HAVE — 20% W/W ETHANOL TINCTURE</x:v>
      </x:c>
      <x:c r="H86" s="92" t="str">
        <x:v>10 g resin + 40 g ethanol; product basis</x:v>
      </x:c>
      <x:c r="I86" s="92" t="str">
        <x:v>Vietnamese benzoin (Styrax tonkinensis) resin ethanol tincture 20% w/w</x:v>
      </x:c>
      <x:c r="J86" s="92" t="n">
        <x:v>0.2</x:v>
      </x:c>
      <x:c r="K86" s="92" t="str">
        <x:v>USER CONFIRMATION • 2026-08-07</x:v>
      </x:c>
      <x:c r="L86" s="92" t="str">
        <x:v>NO</x:v>
      </x:c>
      <x:c r="M86" s="92" t="str">
        <x:v>NO DIRECT SIX-PILOT COUNT CLAIM</x:v>
      </x:c>
      <x:c r="N86" s="92" t="str">
        <x:v>Botanical spelling normalized to Styrax tonkinensis; tincture remains product-basis/lot-specific.</x:v>
      </x:c>
      <x:c r="O86" s="92" t="str">
        <x:v>User confirmed ownership on 2026-08-07.</x:v>
      </x:c>
    </x:row>
    <x:row r="87">
      <x:c r="A87" s="92" t="n">
        <x:v>86</x:v>
      </x:c>
      <x:c r="B87" s="92" t="str">
        <x:v>turkish storax liquidambar orientalis resin ethanol tincture 20%</x:v>
      </x:c>
      <x:c r="C87" s="92" t="str">
        <x:v>Turkish Storax Tincture</x:v>
      </x:c>
      <x:c r="D87" s="92" t="str">
        <x:v>Turkish Storax Tincture</x:v>
      </x:c>
      <x:c r="E87" s="92" t="str">
        <x:v>UPDATED / RECONFIRMED</x:v>
      </x:c>
      <x:c r="F87" s="92" t="str">
        <x:v>HAVE — CANONICAL</x:v>
      </x:c>
      <x:c r="G87" s="92" t="str">
        <x:v>HAVE — 20% W/W ETHANOL TINCTURE</x:v>
      </x:c>
      <x:c r="H87" s="92" t="str">
        <x:v>Turkish Storax Tincture: 10 g resin + 40 g ethanol</x:v>
      </x:c>
      <x:c r="I87" s="92" t="str">
        <x:v>Turkish storax (Liquidambar orientalis) resin ethanol tincture 20% w/w</x:v>
      </x:c>
      <x:c r="J87" s="92" t="n">
        <x:v>0.2</x:v>
      </x:c>
      <x:c r="K87" s="92" t="str">
        <x:v>USER CONFIRMATION • 2026-08-07</x:v>
      </x:c>
      <x:c r="L87" s="92" t="str">
        <x:v>NO</x:v>
      </x:c>
      <x:c r="M87" s="92" t="str">
        <x:v>NO DIRECT SIX-PILOT COUNT CLAIM</x:v>
      </x:c>
      <x:c r="N87" s="92"/>
      <x:c r="O87" s="92" t="str">
        <x:v>User confirmed ownership on 2026-08-07.</x:v>
      </x:c>
    </x:row>
    <x:row r="88">
      <x:c r="A88" s="92" t="n">
        <x:v>87</x:v>
      </x:c>
      <x:c r="B88" s="92" t="str">
        <x:v>helichrsum EO</x:v>
      </x:c>
      <x:c r="C88" s="92" t="str">
        <x:v>Helichrysum EO</x:v>
      </x:c>
      <x:c r="D88" s="92" t="str">
        <x:v>Helichrysum EO</x:v>
      </x:c>
      <x:c r="E88" s="92" t="str">
        <x:v>ADDED</x:v>
      </x:c>
      <x:c r="F88" s="92"/>
      <x:c r="G88" s="92" t="str">
        <x:v>HAVE — NEAT / LOT DETAIL OPEN</x:v>
      </x:c>
      <x:c r="H88" s="92"/>
      <x:c r="I88" s="92" t="str">
        <x:v>Helichrysum EO neat/as supplied; botanical, origin and lot details not yet recorded</x:v>
      </x:c>
      <x:c r="J88" s="92" t="n">
        <x:v>1</x:v>
      </x:c>
      <x:c r="K88" s="92" t="str">
        <x:v>USER CONFIRMATION • 2026-08-07</x:v>
      </x:c>
      <x:c r="L88" s="92" t="str">
        <x:v>NO</x:v>
      </x:c>
      <x:c r="M88" s="92" t="str">
        <x:v>NO DIRECT SIX-PILOT COUNT CLAIM</x:v>
      </x:c>
      <x:c r="N88" s="92"/>
      <x:c r="O88" s="92" t="str">
        <x:v>User confirmed ownership on 2026-08-07.</x:v>
      </x:c>
    </x:row>
    <x:row r="89">
      <x:c r="A89" s="92" t="n">
        <x:v>88</x:v>
      </x:c>
      <x:c r="B89" s="92" t="str">
        <x:v>cassis base 345b</x:v>
      </x:c>
      <x:c r="C89" s="92" t="str">
        <x:v>Cassis Base 345B</x:v>
      </x:c>
      <x:c r="D89" s="92" t="str">
        <x:v>Cassis Base 345B</x:v>
      </x:c>
      <x:c r="E89" s="92" t="str">
        <x:v>ADDED</x:v>
      </x:c>
      <x:c r="F89" s="92"/>
      <x:c r="G89" s="92" t="str">
        <x:v>HAVE — PRODUCT BASIS</x:v>
      </x:c>
      <x:c r="H89" s="92"/>
      <x:c r="I89" s="92" t="str">
        <x:v>Cassis Base 345B as supplied</x:v>
      </x:c>
      <x:c r="J89" s="92"/>
      <x:c r="K89" s="92" t="str">
        <x:v>USER CONFIRMATION • 2026-08-07</x:v>
      </x:c>
      <x:c r="L89" s="92" t="str">
        <x:v>NO</x:v>
      </x:c>
      <x:c r="M89" s="92" t="str">
        <x:v>NO DIRECT SIX-PILOT COUNT CLAIM</x:v>
      </x:c>
      <x:c r="N89" s="92" t="str">
        <x:v>Opaque named base; do not expand into imagined constituents.</x:v>
      </x:c>
      <x:c r="O89" s="92" t="str">
        <x:v>User confirmed ownership on 2026-08-07.</x:v>
      </x:c>
    </x:row>
    <x:row r="90">
      <x:c r="A90" s="92" t="n">
        <x:v>89</x:v>
      </x:c>
      <x:c r="B90" s="92" t="str">
        <x:v>benzyl benzoate</x:v>
      </x:c>
      <x:c r="C90" s="92" t="str">
        <x:v>Benzyl Benzoate</x:v>
      </x:c>
      <x:c r="D90" s="92" t="str">
        <x:v>Benzyl Benzoate</x:v>
      </x:c>
      <x:c r="E90" s="92" t="str">
        <x:v>ADDED</x:v>
      </x:c>
      <x:c r="F90" s="92"/>
      <x:c r="G90" s="92" t="str">
        <x:v>HAVE — NEAT / AS SUPPLIED</x:v>
      </x:c>
      <x:c r="H90" s="92"/>
      <x:c r="I90" s="92" t="str">
        <x:v>Benzyl Benzoate neat/as supplied</x:v>
      </x:c>
      <x:c r="J90" s="92" t="n">
        <x:v>1</x:v>
      </x:c>
      <x:c r="K90" s="92" t="str">
        <x:v>USER CONFIRMATION • 2026-08-07</x:v>
      </x:c>
      <x:c r="L90" s="92" t="str">
        <x:v>NO</x:v>
      </x:c>
      <x:c r="M90" s="92" t="str">
        <x:v>NO DIRECT SIX-PILOT COUNT CLAIM</x:v>
      </x:c>
      <x:c r="N90" s="92"/>
      <x:c r="O90" s="92" t="str">
        <x:v>User confirmed ownership on 2026-08-07.</x:v>
      </x:c>
    </x:row>
    <x:row r="91">
      <x:c r="A91" s="92" t="n">
        <x:v>90</x:v>
      </x:c>
      <x:c r="B91" s="92" t="str">
        <x:v>benzyl acetate</x:v>
      </x:c>
      <x:c r="C91" s="92" t="str">
        <x:v>Benzyl Acetate</x:v>
      </x:c>
      <x:c r="D91" s="92" t="str">
        <x:v>Benzyl Acetate</x:v>
      </x:c>
      <x:c r="E91" s="92" t="str">
        <x:v>UPDATED / RECONFIRMED</x:v>
      </x:c>
      <x:c r="F91" s="92" t="str">
        <x:v>HAVE</x:v>
      </x:c>
      <x:c r="G91" s="92" t="str">
        <x:v>HAVE — NEAT</x:v>
      </x:c>
      <x:c r="H91" s="92" t="str">
        <x:v>neat/as supplied</x:v>
      </x:c>
      <x:c r="I91" s="92" t="str">
        <x:v>Benzyl Acetate neat/as supplied</x:v>
      </x:c>
      <x:c r="J91" s="92" t="n">
        <x:v>1</x:v>
      </x:c>
      <x:c r="K91" s="92" t="str">
        <x:v>USER CONFIRMATION • 2026-08-07</x:v>
      </x:c>
      <x:c r="L91" s="92" t="str">
        <x:v>NO</x:v>
      </x:c>
      <x:c r="M91" s="92" t="str">
        <x:v>NO DIRECT SIX-PILOT COUNT CLAIM</x:v>
      </x:c>
      <x:c r="N91" s="92"/>
      <x:c r="O91" s="92" t="str">
        <x:v>User confirmed ownership on 2026-08-07.</x:v>
      </x:c>
    </x:row>
    <x:row r="92">
      <x:c r="A92" s="92" t="n">
        <x:v>91</x:v>
      </x:c>
      <x:c r="B92" s="92" t="str">
        <x:v>benzyl salicylate</x:v>
      </x:c>
      <x:c r="C92" s="92" t="str">
        <x:v>Benzyl Salicylate</x:v>
      </x:c>
      <x:c r="D92" s="92" t="str">
        <x:v>Benzyl Salicylate</x:v>
      </x:c>
      <x:c r="E92" s="92" t="str">
        <x:v>UPDATED / RECONFIRMED</x:v>
      </x:c>
      <x:c r="F92" s="92" t="str">
        <x:v>HAVE</x:v>
      </x:c>
      <x:c r="G92" s="92" t="str">
        <x:v>HAVE — NEAT</x:v>
      </x:c>
      <x:c r="H92" s="92" t="str">
        <x:v>neat / as supplied</x:v>
      </x:c>
      <x:c r="I92" s="92" t="str">
        <x:v>Benzyl Salicylate neat/as supplied</x:v>
      </x:c>
      <x:c r="J92" s="92" t="n">
        <x:v>1</x:v>
      </x:c>
      <x:c r="K92" s="92" t="str">
        <x:v>USER CONFIRMATION • 2026-08-07</x:v>
      </x:c>
      <x:c r="L92" s="92" t="str">
        <x:v>NO</x:v>
      </x:c>
      <x:c r="M92" s="92" t="str">
        <x:v>NO DIRECT SIX-PILOT COUNT CLAIM</x:v>
      </x:c>
      <x:c r="N92" s="92"/>
      <x:c r="O92" s="92" t="str">
        <x:v>User confirmed ownership on 2026-08-07.</x:v>
      </x:c>
    </x:row>
    <x:row r="93">
      <x:c r="A93" s="92" t="n">
        <x:v>92</x:v>
      </x:c>
      <x:c r="B93" s="92" t="str">
        <x:v>hexyl salicylate</x:v>
      </x:c>
      <x:c r="C93" s="92" t="str">
        <x:v>Hexyl Salicylate</x:v>
      </x:c>
      <x:c r="D93" s="92" t="str">
        <x:v>Hexyl Salicylate</x:v>
      </x:c>
      <x:c r="E93" s="92" t="str">
        <x:v>UPDATED / RECONFIRMED</x:v>
      </x:c>
      <x:c r="F93" s="92" t="str">
        <x:v>HAVE</x:v>
      </x:c>
      <x:c r="G93" s="92" t="str">
        <x:v>HAVE — NEAT</x:v>
      </x:c>
      <x:c r="H93" s="92" t="str">
        <x:v>neat/as supplied</x:v>
      </x:c>
      <x:c r="I93" s="92" t="str">
        <x:v>Hexyl Salicylate neat/as supplied</x:v>
      </x:c>
      <x:c r="J93" s="92" t="n">
        <x:v>1</x:v>
      </x:c>
      <x:c r="K93" s="92" t="str">
        <x:v>USER CONFIRMATION • 2026-08-07</x:v>
      </x:c>
      <x:c r="L93" s="92" t="str">
        <x:v>NO</x:v>
      </x:c>
      <x:c r="M93" s="92" t="str">
        <x:v>NO DIRECT SIX-PILOT COUNT CLAIM</x:v>
      </x:c>
      <x:c r="N93" s="92"/>
      <x:c r="O93" s="92" t="str">
        <x:v>User confirmed ownership on 2026-08-07.</x:v>
      </x:c>
    </x:row>
    <x:row r="94">
      <x:c r="A94" s="92" t="n">
        <x:v>93</x:v>
      </x:c>
      <x:c r="B94" s="92" t="str">
        <x:v>koavone</x:v>
      </x:c>
      <x:c r="C94" s="92" t="str">
        <x:v>Koavone</x:v>
      </x:c>
      <x:c r="D94" s="92" t="str">
        <x:v>Koavone</x:v>
      </x:c>
      <x:c r="E94" s="92" t="str">
        <x:v>UPDATED / RECONFIRMED</x:v>
      </x:c>
      <x:c r="F94" s="92" t="str">
        <x:v>HAVE</x:v>
      </x:c>
      <x:c r="G94" s="92" t="str">
        <x:v>HAVE — NEAT</x:v>
      </x:c>
      <x:c r="H94" s="92" t="str">
        <x:v>neat/as supplied</x:v>
      </x:c>
      <x:c r="I94" s="92" t="str">
        <x:v>Koavone neat/as supplied</x:v>
      </x:c>
      <x:c r="J94" s="92" t="n">
        <x:v>1</x:v>
      </x:c>
      <x:c r="K94" s="92" t="str">
        <x:v>USER CONFIRMATION • 2026-08-07</x:v>
      </x:c>
      <x:c r="L94" s="92" t="str">
        <x:v>NO</x:v>
      </x:c>
      <x:c r="M94" s="92" t="str">
        <x:v>NO DIRECT SIX-PILOT COUNT CLAIM</x:v>
      </x:c>
      <x:c r="N94" s="92"/>
      <x:c r="O94" s="92" t="str">
        <x:v>User confirmed ownership on 2026-08-07.</x:v>
      </x:c>
    </x:row>
    <x:row r="95">
      <x:c r="A95" s="92" t="n">
        <x:v>94</x:v>
      </x:c>
      <x:c r="B95" s="92" t="str">
        <x:v>cerdarwood eo (china)</x:v>
      </x:c>
      <x:c r="C95" s="92" t="str">
        <x:v>Cedarwood EO (China; species unspecified)</x:v>
      </x:c>
      <x:c r="D95" s="92" t="str">
        <x:v>Cedarwood EO — species unspecified</x:v>
      </x:c>
      <x:c r="E95" s="92" t="str">
        <x:v>UPDATED / RECONFIRMED</x:v>
      </x:c>
      <x:c r="F95" s="92" t="str">
        <x:v>HAVE — SPECIES UNSPECIFIED</x:v>
      </x:c>
      <x:c r="G95" s="92" t="str">
        <x:v>HAVE — NEAT / CHINA ORIGIN / SPECIES UNRESOLVED</x:v>
      </x:c>
      <x:c r="H95" s="92" t="str">
        <x:v>Cedarwood EO, exact species not asserted</x:v>
      </x:c>
      <x:c r="I95" s="92" t="str">
        <x:v>Cedarwood EO, China origin, neat/as supplied; botanical species not stated</x:v>
      </x:c>
      <x:c r="J95" s="92" t="n">
        <x:v>1</x:v>
      </x:c>
      <x:c r="K95" s="92" t="str">
        <x:v>USER CONFIRMATION • 2026-08-07</x:v>
      </x:c>
      <x:c r="L95" s="92" t="str">
        <x:v>NO</x:v>
      </x:c>
      <x:c r="M95" s="92" t="str">
        <x:v>NO DIRECT SIX-PILOT COUNT CLAIM</x:v>
      </x:c>
      <x:c r="N95" s="92" t="str">
        <x:v>Not equivalent to Cedarwood Virginia, Himalayan, Atlas or another species-specific oil.</x:v>
      </x:c>
      <x:c r="O95" s="92" t="str">
        <x:v>User confirmed ownership on 2026-08-07.</x:v>
      </x:c>
    </x:row>
    <x:row r="96">
      <x:c r="A96" s="92" t="n">
        <x:v>95</x:v>
      </x:c>
      <x:c r="B96" s="92" t="str">
        <x:v>verdyl acetate</x:v>
      </x:c>
      <x:c r="C96" s="92" t="str">
        <x:v>Verdyl Acetate</x:v>
      </x:c>
      <x:c r="D96" s="92" t="str">
        <x:v>Verdyl Acetate</x:v>
      </x:c>
      <x:c r="E96" s="92" t="str">
        <x:v>UPDATED / RECONFIRMED</x:v>
      </x:c>
      <x:c r="F96" s="92" t="str">
        <x:v>HAVE</x:v>
      </x:c>
      <x:c r="G96" s="92" t="str">
        <x:v>HAVE — NEAT</x:v>
      </x:c>
      <x:c r="H96" s="92" t="str">
        <x:v>neat/as supplied</x:v>
      </x:c>
      <x:c r="I96" s="92" t="str">
        <x:v>Verdyl Acetate neat/as supplied</x:v>
      </x:c>
      <x:c r="J96" s="92" t="n">
        <x:v>1</x:v>
      </x:c>
      <x:c r="K96" s="92" t="str">
        <x:v>USER CONFIRMATION • 2026-08-07</x:v>
      </x:c>
      <x:c r="L96" s="92" t="str">
        <x:v>NO</x:v>
      </x:c>
      <x:c r="M96" s="92" t="str">
        <x:v>NO DIRECT SIX-PILOT COUNT CLAIM</x:v>
      </x:c>
      <x:c r="N96" s="92"/>
      <x:c r="O96" s="92" t="str">
        <x:v>User confirmed ownership on 2026-08-07.</x:v>
      </x:c>
    </x:row>
    <x:row r="97">
      <x:c r="A97" s="92" t="n">
        <x:v>96</x:v>
      </x:c>
      <x:c r="B97" s="92" t="str">
        <x:v>verdox (duplicate mention)</x:v>
      </x:c>
      <x:c r="C97" s="92" t="str">
        <x:v>Verdox</x:v>
      </x:c>
      <x:c r="D97" s="92" t="str">
        <x:v>Verdox</x:v>
      </x:c>
      <x:c r="E97" s="92" t="str">
        <x:v>DUPLICATE USER MENTION COLLAPSED</x:v>
      </x:c>
      <x:c r="F97" s="92" t="str">
        <x:v>HAVE</x:v>
      </x:c>
      <x:c r="G97" s="92" t="str">
        <x:v>HAVE — NEAT</x:v>
      </x:c>
      <x:c r="H97" s="92" t="str">
        <x:v>neat / as supplied</x:v>
      </x:c>
      <x:c r="I97" s="92" t="str">
        <x:v>Verdox neat/as supplied</x:v>
      </x:c>
      <x:c r="J97" s="92" t="n">
        <x:v>1</x:v>
      </x:c>
      <x:c r="K97" s="92" t="str">
        <x:v>USER CONFIRMATION • 2026-08-07</x:v>
      </x:c>
      <x:c r="L97" s="92" t="str">
        <x:v>NO</x:v>
      </x:c>
      <x:c r="M97" s="92" t="str">
        <x:v>NO DIRECT SIX-PILOT COUNT CLAIM</x:v>
      </x:c>
      <x:c r="N97" s="92"/>
      <x:c r="O97" s="92" t="str">
        <x:v>Duplicate user mention collapsed to the existing Verdox row; no duplicate inventory row created.</x:v>
      </x:c>
    </x:row>
    <x:row r="98">
      <x:c r="A98" s="92" t="n">
        <x:v>97</x:v>
      </x:c>
      <x:c r="B98" s="92" t="str">
        <x:v>blood orange oil silician</x:v>
      </x:c>
      <x:c r="C98" s="92" t="str">
        <x:v>Blood Orange Oil Sicilian</x:v>
      </x:c>
      <x:c r="D98" s="92" t="str">
        <x:v>Blood Orange Oil Sicilian</x:v>
      </x:c>
      <x:c r="E98" s="92" t="str">
        <x:v>UPDATED / RECONFIRMED</x:v>
      </x:c>
      <x:c r="F98" s="92" t="str">
        <x:v>HAVE</x:v>
      </x:c>
      <x:c r="G98" s="92" t="str">
        <x:v>HAVE — NEAT / LOT DETAIL OPEN</x:v>
      </x:c>
      <x:c r="H98" s="92" t="str">
        <x:v>neat / as supplied</x:v>
      </x:c>
      <x:c r="I98" s="92" t="str">
        <x:v>Blood Orange Oil Sicilian neat/as supplied; lot details not yet recorded</x:v>
      </x:c>
      <x:c r="J98" s="92" t="n">
        <x:v>1</x:v>
      </x:c>
      <x:c r="K98" s="92" t="str">
        <x:v>USER CONFIRMATION • 2026-08-07</x:v>
      </x:c>
      <x:c r="L98" s="92" t="str">
        <x:v>NO</x:v>
      </x:c>
      <x:c r="M98" s="92" t="str">
        <x:v>NO DIRECT SIX-PILOT COUNT CLAIM</x:v>
      </x:c>
      <x:c r="N98" s="92" t="str">
        <x:v>User spelling “silician” normalized to Sicilian.</x:v>
      </x:c>
      <x:c r="O98" s="92" t="str">
        <x:v>User confirmed ownership on 2026-08-07.</x:v>
      </x:c>
    </x:row>
    <x:row r="99">
      <x:c r="A99" s="92" t="n">
        <x:v>98</x:v>
      </x:c>
      <x:c r="B99" s="92" t="str">
        <x:v>orange peel EO</x:v>
      </x:c>
      <x:c r="C99" s="92" t="str">
        <x:v>Orange Peel EO</x:v>
      </x:c>
      <x:c r="D99" s="92" t="str">
        <x:v>Orange Peel EO</x:v>
      </x:c>
      <x:c r="E99" s="92" t="str">
        <x:v>UPDATED / RECONFIRMED</x:v>
      </x:c>
      <x:c r="F99" s="92" t="str">
        <x:v>HAVE</x:v>
      </x:c>
      <x:c r="G99" s="92" t="str">
        <x:v>HAVE — NEAT / LOT DETAIL OPEN</x:v>
      </x:c>
      <x:c r="H99" s="92" t="str">
        <x:v>neat/as supplied</x:v>
      </x:c>
      <x:c r="I99" s="92" t="str">
        <x:v>Orange Peel EO neat/as supplied; botanical/lot details not yet recorded</x:v>
      </x:c>
      <x:c r="J99" s="92" t="n">
        <x:v>1</x:v>
      </x:c>
      <x:c r="K99" s="92" t="str">
        <x:v>USER CONFIRMATION • 2026-08-07</x:v>
      </x:c>
      <x:c r="L99" s="92" t="str">
        <x:v>NO</x:v>
      </x:c>
      <x:c r="M99" s="92" t="str">
        <x:v>NO DIRECT SIX-PILOT COUNT CLAIM</x:v>
      </x:c>
      <x:c r="N99" s="92"/>
      <x:c r="O99" s="92" t="str">
        <x:v>User confirmed ownership on 2026-08-07.</x:v>
      </x:c>
    </x:row>
    <x:row r="100">
      <x:c r="A100" s="92" t="n">
        <x:v>99</x:v>
      </x:c>
      <x:c r="B100" s="92" t="str">
        <x:v>OUT OF STOCK: cedrat fcf oil</x:v>
      </x:c>
      <x:c r="C100" s="92" t="str">
        <x:v>Cedrat FCF Oil Sicilian</x:v>
      </x:c>
      <x:c r="D100" s="92" t="str">
        <x:v>Cedrat FCF Oil Sicilian</x:v>
      </x:c>
      <x:c r="E100" s="92" t="str">
        <x:v>MARKED OUT OF STOCK</x:v>
      </x:c>
      <x:c r="F100" s="92" t="str">
        <x:v>GAP</x:v>
      </x:c>
      <x:c r="G100" s="92" t="str">
        <x:v>OUT OF STOCK — CONFIRMED</x:v>
      </x:c>
      <x:c r="H100" s="92"/>
      <x:c r="I100" s="92"/>
      <x:c r="J100" s="92"/>
      <x:c r="K100" s="92" t="str">
        <x:v>USER CONFIRMATION • 2026-08-07</x:v>
      </x:c>
      <x:c r="L100" s="92" t="str">
        <x:v>NO</x:v>
      </x:c>
      <x:c r="M100" s="92" t="str">
        <x:v>HOLDS 52 PORTFOLIO FORMULA ROWS; NO DIRECT SIX-PILOT USE</x:v>
      </x:c>
      <x:c r="N100" s="92"/>
      <x:c r="O100" s="92" t="str">
        <x:v>User explicitly marked Cedrat FCF Oil out of stock on 2026-08-07.</x:v>
      </x:c>
    </x:row>
    <x:row r="101">
      <x:c r="A101" s="92" t="n">
        <x:v>100</x:v>
      </x:c>
      <x:c r="B101" s="92" t="str">
        <x:v>OUT OF STOCK: ambrettolide</x:v>
      </x:c>
      <x:c r="C101" s="92" t="str">
        <x:v>Ambrettolide 10%</x:v>
      </x:c>
      <x:c r="D101" s="92" t="str">
        <x:v>Ambrettolide 10%</x:v>
      </x:c>
      <x:c r="E101" s="92" t="str">
        <x:v>MARKED OUT OF STOCK</x:v>
      </x:c>
      <x:c r="F101" s="92" t="str">
        <x:v>HAVE</x:v>
      </x:c>
      <x:c r="G101" s="92" t="str">
        <x:v>OUT OF STOCK — CONFIRMED</x:v>
      </x:c>
      <x:c r="H101" s="92" t="str">
        <x:v>10% in DPG</x:v>
      </x:c>
      <x:c r="I101" s="92"/>
      <x:c r="J101" s="92"/>
      <x:c r="K101" s="92" t="str">
        <x:v>USER CONFIRMATION • 2026-08-07</x:v>
      </x:c>
      <x:c r="L101" s="92" t="str">
        <x:v>NO</x:v>
      </x:c>
      <x:c r="M101" s="92" t="str">
        <x:v>OUT-OF-STOCK HOLD APPLIES TO 203 OF 227 SIX-PILOT DESIGNS</x:v>
      </x:c>
      <x:c r="N101" s="92"/>
      <x:c r="O101" s="92" t="str">
        <x:v>User explicitly marked Ambrettolide out of stock on 2026-08-07.</x:v>
      </x:c>
    </x:row>
    <x:row r="102">
      <x:c r="A102" s="92" t="n">
        <x:v>101</x:v>
      </x:c>
      <x:c r="B102" s="92" t="str">
        <x:v>OUT OF STOCK: ambrettolide duplicate inventory row</x:v>
      </x:c>
      <x:c r="C102" s="92" t="str">
        <x:v>Ambrettolide 10% in DPG</x:v>
      </x:c>
      <x:c r="D102" s="92" t="str">
        <x:v>Ambrettolide 10% in DPG</x:v>
      </x:c>
      <x:c r="E102" s="92" t="str">
        <x:v>DUPLICATE USER MENTION COLLAPSED</x:v>
      </x:c>
      <x:c r="F102" s="92" t="str">
        <x:v>HAVE</x:v>
      </x:c>
      <x:c r="G102" s="92" t="str">
        <x:v>OUT OF STOCK — DUPLICATE STOCK ROW</x:v>
      </x:c>
      <x:c r="H102" s="92" t="str">
        <x:v>10% in DPG</x:v>
      </x:c>
      <x:c r="I102" s="92"/>
      <x:c r="J102" s="92"/>
      <x:c r="K102" s="92" t="str">
        <x:v>USER CONFIRMATION • 2026-08-07</x:v>
      </x:c>
      <x:c r="L102" s="92" t="str">
        <x:v>NO</x:v>
      </x:c>
      <x:c r="M102" s="92" t="str">
        <x:v>OUT-OF-STOCK HOLD APPLIES TO 203 OF 227 SIX-PILOT DESIGNS</x:v>
      </x:c>
      <x:c r="N102" s="92" t="str">
        <x:v>Duplicate stock-form row for Ambrettolide 10%; parent stock is out of stock and counts once.</x:v>
      </x:c>
      <x:c r="O102" s="92" t="str">
        <x:v>Duplicate Ambrettolide row synchronized to the current out-of-stock state.</x:v>
      </x:c>
    </x:row>
    <x:row r="103">
      <x:c r="A103" s="92" t="n">
        <x:v>102</x:v>
      </x:c>
      <x:c r="B103" s="92" t="str">
        <x:v>OUT OF STOCK: red mandarin eo</x:v>
      </x:c>
      <x:c r="C103" s="92" t="str">
        <x:v>Red Mandarin EO</x:v>
      </x:c>
      <x:c r="D103" s="92" t="str">
        <x:v>Red Mandarin EO</x:v>
      </x:c>
      <x:c r="E103" s="92" t="str">
        <x:v>MARKED OUT OF STOCK</x:v>
      </x:c>
      <x:c r="F103" s="92" t="str">
        <x:v>OUT OF STOCK</x:v>
      </x:c>
      <x:c r="G103" s="92" t="str">
        <x:v>OUT OF STOCK — CONFIRMED</x:v>
      </x:c>
      <x:c r="H103" s="92"/>
      <x:c r="I103" s="92"/>
      <x:c r="J103" s="92"/>
      <x:c r="K103" s="92" t="str">
        <x:v>USER CONFIRMATION • 2026-08-07</x:v>
      </x:c>
      <x:c r="L103" s="92" t="str">
        <x:v>NO</x:v>
      </x:c>
      <x:c r="M103" s="92" t="str">
        <x:v>HOLDS 54 PORTFOLIO FORMULA ROWS; NO DIRECT SIX-PILOT USE</x:v>
      </x:c>
      <x:c r="N103" s="92"/>
      <x:c r="O103" s="92" t="str">
        <x:v>User explicitly marked Red Mandarin EO out of stock on 2026-08-07.</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3" hidden="0" customWidth="1"/>
    <x:col min="2" max="2" width="28" hidden="0" customWidth="1"/>
    <x:col min="3" max="3" width="16" hidden="0" customWidth="1"/>
  </x:cols>
  <x:sheetData>
    <x:row r="1">
      <x:c r="A1" s="133" t="str">
        <x:v>HIGH-VALUE ACCORD • MISSING CHEMICAL PRIORITY</x:v>
      </x:c>
      <x:c r="B1" s="133"/>
      <x:c r="C1" s="133"/>
      <x:c r="D1" s="133"/>
      <x:c r="E1" s="133"/>
      <x:c r="F1" s="133"/>
      <x:c r="G1" s="133"/>
      <x:c r="H1" s="133"/>
    </x:row>
    <x:row r="2">
      <x:c r="A2" s="133"/>
      <x:c r="B2" s="133"/>
      <x:c r="C2" s="133"/>
      <x:c r="D2" s="133"/>
      <x:c r="E2" s="133"/>
      <x:c r="F2" s="133"/>
      <x:c r="G2" s="133"/>
      <x:c r="H2" s="133"/>
    </x:row>
    <x:row r="4">
      <x:c r="A4" s="138" t="str">
        <x:v>Metric</x:v>
      </x:c>
      <x:c r="B4" s="139" t="str">
        <x:v>Value</x:v>
      </x:c>
      <x:c r="D4" s="136" t="str">
        <x:v>Interpretation boundary</x:v>
      </x:c>
      <x:c r="E4" s="136"/>
      <x:c r="F4" s="136"/>
      <x:c r="G4" s="136"/>
      <x:c r="H4" s="136"/>
    </x:row>
    <x:row r="5">
      <x:c r="A5" s="140" t="str">
        <x:v>Total ranked candidates</x:v>
      </x:c>
      <x:c r="B5" s="141" t="n">
        <x:f>COUNTA('High-Hedonic Priority'!E2:E200)</x:f>
        <x:v>35</x:v>
      </x:c>
      <x:c r="D5" s="163" t="str">
        <x:v>The list predicts decision leverage, not beauty. Direct gaps are ranked by current formula impact and substitution risk. Architectural expansions are ranked by breadth, independent function, and the expected ability to create new accord geometries. No single material receives a hedonic score, and every high-impact candidate still requires exact-stock screening against controls.</x:v>
      </x:c>
      <x:c r="E5" s="164"/>
      <x:c r="F5" s="164"/>
      <x:c r="G5" s="164"/>
      <x:c r="H5" s="165"/>
    </x:row>
    <x:row r="6">
      <x:c r="A6" s="140" t="str">
        <x:v>Direct portfolio gaps</x:v>
      </x:c>
      <x:c r="B6" s="141" t="n">
        <x:f>COUNTIF('High-Hedonic Priority'!B2:B200,"DIRECT PORTFOLIO GAP")</x:f>
        <x:v>14</x:v>
      </x:c>
      <x:c r="D6" s="166"/>
      <x:c r="E6" s="167"/>
      <x:c r="F6" s="167"/>
      <x:c r="G6" s="167"/>
      <x:c r="H6" s="168"/>
    </x:row>
    <x:row r="7">
      <x:c r="A7" s="140" t="str">
        <x:v>Architectural expansions</x:v>
      </x:c>
      <x:c r="B7" s="141" t="n">
        <x:f>COUNTIF('High-Hedonic Priority'!B2:B200,"ARCHITECTURAL EXPANSION")</x:f>
        <x:v>21</x:v>
      </x:c>
      <x:c r="D7" s="166"/>
      <x:c r="E7" s="167"/>
      <x:c r="F7" s="167"/>
      <x:c r="G7" s="167"/>
      <x:c r="H7" s="168"/>
    </x:row>
    <x:row r="8">
      <x:c r="A8" s="140" t="str">
        <x:v>P0 / P0-AUTH actions</x:v>
      </x:c>
      <x:c r="B8" s="141" t="n">
        <x:f>COUNTIF('High-Hedonic Priority'!D2:D200,"P0")+COUNTIF('High-Hedonic Priority'!D2:D200,"P0-AUTH")</x:f>
        <x:v>8</x:v>
      </x:c>
      <x:c r="D8" s="166"/>
      <x:c r="E8" s="167"/>
      <x:c r="F8" s="167"/>
      <x:c r="G8" s="167"/>
      <x:c r="H8" s="168"/>
    </x:row>
    <x:row r="9">
      <x:c r="A9" s="140" t="str">
        <x:v>Current formula rows touched</x:v>
      </x:c>
      <x:c r="B9" s="141" t="n">
        <x:f>SUM('Direct Portfolio Gaps'!I2:I100)</x:f>
        <x:v>472</x:v>
      </x:c>
      <x:c r="D9" s="166"/>
      <x:c r="E9" s="167"/>
      <x:c r="F9" s="167"/>
      <x:c r="G9" s="167"/>
      <x:c r="H9" s="168"/>
    </x:row>
    <x:row r="10">
      <x:c r="A10" s="140" t="str">
        <x:v>Planned design-available materials</x:v>
      </x:c>
      <x:c r="B10" s="141" t="n">
        <x:v>1</x:v>
      </x:c>
      <x:c r="D10" s="166"/>
      <x:c r="E10" s="167"/>
      <x:c r="F10" s="167"/>
      <x:c r="G10" s="167"/>
      <x:c r="H10" s="168"/>
    </x:row>
    <x:row r="11">
      <x:c r="A11" s="140" t="str">
        <x:v>Physical hedonic observations</x:v>
      </x:c>
      <x:c r="B11" s="141" t="n">
        <x:v>0</x:v>
      </x:c>
      <x:c r="D11" s="166"/>
      <x:c r="E11" s="167"/>
      <x:c r="F11" s="167"/>
      <x:c r="G11" s="167"/>
      <x:c r="H11" s="168"/>
    </x:row>
    <x:row r="12">
      <x:c r="A12" s="140" t="str">
        <x:v>Broad-appeal results</x:v>
      </x:c>
      <x:c r="B12" s="141" t="n">
        <x:v>0</x:v>
      </x:c>
      <x:c r="D12" s="166"/>
      <x:c r="E12" s="167"/>
      <x:c r="F12" s="167"/>
      <x:c r="G12" s="167"/>
      <x:c r="H12" s="168"/>
    </x:row>
    <x:row r="13">
      <x:c r="A13" s="142" t="str">
        <x:v>Formula revisions authorized</x:v>
      </x:c>
      <x:c r="B13" s="143" t="n">
        <x:v>0</x:v>
      </x:c>
      <x:c r="D13" s="169"/>
      <x:c r="E13" s="170"/>
      <x:c r="F13" s="170"/>
      <x:c r="G13" s="170"/>
      <x:c r="H13" s="171"/>
    </x:row>
    <x:row r="16">
      <x:c r="A16" s="174" t="str">
        <x:v>Rank</x:v>
      </x:c>
      <x:c r="B16" s="174" t="str">
        <x:v>Direct gap</x:v>
      </x:c>
      <x:c r="C16" s="174" t="str">
        <x:v>Formula count</x:v>
      </x:c>
    </x:row>
    <x:row r="17">
      <x:c r="A17" s="175" t="n">
        <x:v>1</x:v>
      </x:c>
      <x:c r="B17" s="175" t="str">
        <x:v>Clearwood</x:v>
      </x:c>
      <x:c r="C17" s="175" t="n">
        <x:v>95</x:v>
      </x:c>
    </x:row>
    <x:row r="18">
      <x:c r="A18" s="175" t="n">
        <x:v>2</x:v>
      </x:c>
      <x:c r="B18" s="175" t="str">
        <x:v>Red Mandarin EO</x:v>
      </x:c>
      <x:c r="C18" s="175" t="n">
        <x:v>54</x:v>
      </x:c>
    </x:row>
    <x:row r="19">
      <x:c r="A19" s="175" t="n">
        <x:v>3</x:v>
      </x:c>
      <x:c r="B19" s="175" t="str">
        <x:v>Cedrat FCF Oil Sicilian</x:v>
      </x:c>
      <x:c r="C19" s="175" t="n">
        <x:v>52</x:v>
      </x:c>
    </x:row>
    <x:row r="20">
      <x:c r="A20" s="175" t="n">
        <x:v>4</x:v>
      </x:c>
      <x:c r="B20" s="175" t="str">
        <x:v>Globanone 50%</x:v>
      </x:c>
      <x:c r="C20" s="175" t="n">
        <x:v>49</x:v>
      </x:c>
    </x:row>
    <x:row r="21">
      <x:c r="A21" s="175" t="n">
        <x:v>5</x:v>
      </x:c>
      <x:c r="B21" s="175" t="str">
        <x:v>Amber Core 10%</x:v>
      </x:c>
      <x:c r="C21" s="175" t="n">
        <x:v>48</x:v>
      </x:c>
    </x:row>
    <x:row r="22">
      <x:c r="A22" s="175" t="n">
        <x:v>6</x:v>
      </x:c>
      <x:c r="B22" s="175" t="str">
        <x:v>Amber Xtreme 0.1%</x:v>
      </x:c>
      <x:c r="C22" s="175" t="n">
        <x:v>47</x:v>
      </x:c>
    </x:row>
    <x:row r="23">
      <x:c r="A23" s="175" t="n">
        <x:v>7</x:v>
      </x:c>
      <x:c r="B23" s="175" t="str">
        <x:v>Nutmeg EO</x:v>
      </x:c>
      <x:c r="C23" s="175" t="n">
        <x:v>44</x:v>
      </x:c>
    </x:row>
    <x:row r="24">
      <x:c r="A24" s="175" t="n">
        <x:v>8</x:v>
      </x:c>
      <x:c r="B24" s="175" t="str">
        <x:v>Jasmonyl</x:v>
      </x:c>
      <x:c r="C24" s="175" t="n">
        <x:v>38</x:v>
      </x:c>
    </x:row>
    <x:row r="25">
      <x:c r="A25" s="175" t="n">
        <x:v>9</x:v>
      </x:c>
      <x:c r="B25" s="175" t="str">
        <x:v>Guaiacwood EO</x:v>
      </x:c>
      <x:c r="C25" s="175" t="n">
        <x:v>15</x:v>
      </x:c>
    </x:row>
    <x:row r="26">
      <x:c r="A26" s="175" t="n">
        <x:v>10</x:v>
      </x:c>
      <x:c r="B26" s="175" t="str">
        <x:v>Pink Pepper EO / CO2</x:v>
      </x:c>
      <x:c r="C26" s="175" t="n">
        <x:v>8</x:v>
      </x:c>
    </x:row>
    <x:row r="27">
      <x:c r="A27" s="175" t="n">
        <x:v>11</x:v>
      </x:c>
      <x:c r="B27" s="175" t="str">
        <x:v>Myrrh Resinoid 50%</x:v>
      </x:c>
      <x:c r="C27" s="175" t="n">
        <x:v>7</x:v>
      </x:c>
    </x:row>
    <x:row r="28">
      <x:c r="A28" s="175" t="n">
        <x:v>12</x:v>
      </x:c>
      <x:c r="B28" s="175" t="str">
        <x:v>White Pepper EO / CO2</x:v>
      </x:c>
      <x:c r="C28" s="175" t="n">
        <x:v>6</x:v>
      </x:c>
    </x:row>
    <x:row r="29">
      <x:c r="A29" s="175" t="n">
        <x:v>13</x:v>
      </x:c>
      <x:c r="B29" s="175" t="str">
        <x:v>Cedarwood Atlas</x:v>
      </x:c>
      <x:c r="C29" s="175" t="n">
        <x:v>5</x:v>
      </x:c>
    </x:row>
    <x:row r="30">
      <x:c r="A30" s="176" t="n">
        <x:v>14</x:v>
      </x:c>
      <x:c r="B30" s="176" t="str">
        <x:v>Oakwood CO2 10%</x:v>
      </x:c>
      <x:c r="C30" s="176" t="n">
        <x:v>4</x:v>
      </x:c>
    </x:row>
  </x:sheetData>
  <x:mergeCells>
    <x:mergeCell ref="A1:H2"/>
    <x:mergeCell ref="D4:H4"/>
    <x:mergeCell ref="D5:H13"/>
  </x:mergeCells>
  <x:pageMargins left="0.7" right="0.7" top="0.75" bottom="0.75" header="0.3" footer="0.3"/>
  <x:drawing xmlns:r="http://schemas.openxmlformats.org/officeDocument/2006/relationships" r:id="R233ff8aa5f314e71"/>
</x:worksheet>
</file>

<file path=xl/worksheets/sheet13.xml><?xml version="1.0" encoding="utf-8"?>
<x:worksheet xmlns:x="http://schemas.openxmlformats.org/spreadsheetml/2006/main">
  <x:sheetFormatPr defaultRowHeight="15"/>
  <x:cols>
    <x:col min="1" max="1" width="11" hidden="0" customWidth="1"/>
    <x:col min="2" max="2" width="23" hidden="0" customWidth="1"/>
    <x:col min="3" max="3" width="10" hidden="0" customWidth="1"/>
    <x:col min="4" max="4" width="14" hidden="0" customWidth="1"/>
    <x:col min="5" max="5" width="30" hidden="0" customWidth="1"/>
    <x:col min="6" max="6" width="30" hidden="0" customWidth="1"/>
    <x:col min="7" max="7" width="28" hidden="0" customWidth="1"/>
    <x:col min="8" max="8" width="31" hidden="0" customWidth="1"/>
    <x:col min="9" max="9" width="15" hidden="0" customWidth="1"/>
    <x:col min="10" max="10" width="13" hidden="0" customWidth="1"/>
    <x:col min="11" max="11" width="18" hidden="0" customWidth="1"/>
    <x:col min="12" max="12" width="17" hidden="0" customWidth="1"/>
    <x:col min="13" max="13" width="18" hidden="0" customWidth="1"/>
    <x:col min="14" max="14" width="42" hidden="0" customWidth="1"/>
    <x:col min="15" max="15" width="37" hidden="0" customWidth="1"/>
    <x:col min="16" max="16" width="42" hidden="0" customWidth="1"/>
    <x:col min="17" max="17" width="28" hidden="0" customWidth="1"/>
    <x:col min="18" max="18" width="23" hidden="0" customWidth="1"/>
    <x:col min="19" max="19" width="20" hidden="0" customWidth="1"/>
    <x:col min="20" max="20" width="34" hidden="0" customWidth="1"/>
    <x:col min="21" max="21" width="42" hidden="0" customWidth="1"/>
    <x:col min="22" max="22" width="48" hidden="0" customWidth="1"/>
  </x:cols>
  <x:sheetData>
    <x:row r="1" ht="34" customHeight="1">
      <x:c r="A1" s="179" t="str">
        <x:v>master_action_rank</x:v>
      </x:c>
      <x:c r="B1" s="179" t="str">
        <x:v>lane</x:v>
      </x:c>
      <x:c r="C1" s="179" t="str">
        <x:v>lane_rank</x:v>
      </x:c>
      <x:c r="D1" s="179" t="str">
        <x:v>priority_band</x:v>
      </x:c>
      <x:c r="E1" s="179" t="str">
        <x:v>material</x:v>
      </x:c>
      <x:c r="F1" s="179" t="str">
        <x:v>current_state</x:v>
      </x:c>
      <x:c r="G1" s="179" t="str">
        <x:v>recommended_action</x:v>
      </x:c>
      <x:c r="H1" s="179" t="str">
        <x:v>purchase_class</x:v>
      </x:c>
      <x:c r="I1" s="179" t="str">
        <x:v>current_formula_count</x:v>
      </x:c>
      <x:c r="J1" s="179" t="str">
        <x:v>current_row_uses</x:v>
      </x:c>
      <x:c r="K1" s="179" t="str">
        <x:v>hedonic_leverage_hypothesis</x:v>
      </x:c>
      <x:c r="L1" s="179" t="str">
        <x:v>architectural_reuse</x:v>
      </x:c>
      <x:c r="M1" s="179" t="str">
        <x:v>substitution_collapse_risk</x:v>
      </x:c>
      <x:c r="N1" s="179" t="str">
        <x:v>missing_functions_or_value</x:v>
      </x:c>
      <x:c r="O1" s="179" t="str">
        <x:v>accord_systems_unlocked</x:v>
      </x:c>
      <x:c r="P1" s="179" t="str">
        <x:v>decision_enabled</x:v>
      </x:c>
      <x:c r="Q1" s="179" t="str">
        <x:v>authority_state</x:v>
      </x:c>
      <x:c r="R1" s="179" t="str">
        <x:v>cost_state</x:v>
      </x:c>
      <x:c r="S1" s="179" t="str">
        <x:v>physical_evidence_state</x:v>
      </x:c>
      <x:c r="T1" s="179" t="str">
        <x:v>source_artifact</x:v>
      </x:c>
      <x:c r="U1" s="179" t="str">
        <x:v>source_url</x:v>
      </x:c>
      <x:c r="V1" s="179" t="str">
        <x:v>rationale_and_holds</x:v>
      </x:c>
    </x:row>
    <x:row r="2">
      <x:c r="A2" s="181" t="n">
        <x:v>1</x:v>
      </x:c>
      <x:c r="B2" s="181" t="str">
        <x:v>DIRECT PORTFOLIO GAP</x:v>
      </x:c>
      <x:c r="C2" s="181" t="n">
        <x:v>1</x:v>
      </x:c>
      <x:c r="D2" s="181" t="str">
        <x:v>P0</x:v>
      </x:c>
      <x:c r="E2" s="181" t="str">
        <x:v>Clearwood</x:v>
      </x:c>
      <x:c r="F2" s="181" t="str">
        <x:v>OUT OF STOCK</x:v>
      </x:c>
      <x:c r="G2" s="181" t="str">
        <x:v>RESTOCK</x:v>
      </x:c>
      <x:c r="H2" s="181" t="str">
        <x:v>ESSENTIAL UNBLOCKER</x:v>
      </x:c>
      <x:c r="I2" s="181" t="n">
        <x:v>95</x:v>
      </x:c>
      <x:c r="J2" s="181" t="n">
        <x:v>95</x:v>
      </x:c>
      <x:c r="K2" s="181" t="str">
        <x:v>VERY HIGH</x:v>
      </x:c>
      <x:c r="L2" s="181" t="str">
        <x:v>VERY HIGH</x:v>
      </x:c>
      <x:c r="M2" s="181" t="str">
        <x:v>HIGH</x:v>
      </x:c>
      <x:c r="N2" s="181" t="str">
        <x:v>Clean patchouli/woody transparency; modern drydown polish; wood-floral and amber bridge.</x:v>
      </x:c>
      <x:c r="O2" s="181" t="str">
        <x:v>Modern woods; woody iris; amber; chypre; clean skin woods</x:v>
      </x:c>
      <x:c r="P2" s="181" t="str">
        <x:v>Decide whether Clearwood should enter the next bounded accord and formula screens at exact stock.</x:v>
      </x:c>
      <x:c r="Q2" s="181" t="str">
        <x:v>ADEQUATE</x:v>
      </x:c>
      <x:c r="R2" s="181" t="str">
        <x:v>CURRENT QUOTE REQUIRED</x:v>
      </x:c>
      <x:c r="S2" s="181" t="str">
        <x:v>NOT TESTED</x:v>
      </x:c>
      <x:c r="T2" s="181" t="str">
        <x:v>Kenny_Current_Perfumery_Inventory_Master_Aug2026_v5.xlsx</x:v>
      </x:c>
      <x:c r="U2" s="181" t="str"/>
      <x:c r="V2" s="181" t="str">
        <x:v>Current V5 exact formula gap and depleted stock.</x:v>
      </x:c>
    </x:row>
    <x:row r="3">
      <x:c r="A3" s="181" t="n">
        <x:v>2</x:v>
      </x:c>
      <x:c r="B3" s="181" t="str">
        <x:v>DIRECT PORTFOLIO GAP</x:v>
      </x:c>
      <x:c r="C3" s="181" t="n">
        <x:v>2</x:v>
      </x:c>
      <x:c r="D3" s="181" t="str">
        <x:v>P0</x:v>
      </x:c>
      <x:c r="E3" s="181" t="str">
        <x:v>Red Mandarin EO</x:v>
      </x:c>
      <x:c r="F3" s="181" t="str">
        <x:v>OUT OF STOCK — CONFIRMED</x:v>
      </x:c>
      <x:c r="G3" s="181" t="str">
        <x:v>BUY EXACT OIL</x:v>
      </x:c>
      <x:c r="H3" s="181" t="str">
        <x:v>ESSENTIAL UNBLOCKER</x:v>
      </x:c>
      <x:c r="I3" s="181" t="n">
        <x:v>54</x:v>
      </x:c>
      <x:c r="J3" s="181" t="n">
        <x:v>54</x:v>
      </x:c>
      <x:c r="K3" s="181" t="str">
        <x:v>HIGH</x:v>
      </x:c>
      <x:c r="L3" s="181" t="str">
        <x:v>HIGH</x:v>
      </x:c>
      <x:c r="M3" s="181" t="str">
        <x:v>HIGH</x:v>
      </x:c>
      <x:c r="N3" s="181" t="str">
        <x:v>Juicy warm mandarin lift and top-to-heart continuity that blood orange or orange peel do not exactly replace.</x:v>
      </x:c>
      <x:c r="O3" s="181" t="str">
        <x:v>Citrus floral; cologne; aromatic; amber citrus</x:v>
      </x:c>
      <x:c r="P3" s="181" t="str">
        <x:v>Decide whether Red Mandarin EO should enter the next bounded accord and formula screens at exact stock.</x:v>
      </x:c>
      <x:c r="Q3" s="181" t="str">
        <x:v>ADEQUATE</x:v>
      </x:c>
      <x:c r="R3" s="181" t="str">
        <x:v>CURRENT QUOTE REQUIRED</x:v>
      </x:c>
      <x:c r="S3" s="181" t="str">
        <x:v>NOT TESTED</x:v>
      </x:c>
      <x:c r="T3" s="181" t="str">
        <x:v>Kenny_Current_Perfumery_Inventory_Master_Aug2026_v5.xlsx</x:v>
      </x:c>
      <x:c r="U3" s="181" t="str"/>
      <x:c r="V3" s="181" t="str">
        <x:v>Current V5 exact formula gap.</x:v>
      </x:c>
    </x:row>
    <x:row r="4">
      <x:c r="A4" s="181" t="n">
        <x:v>3</x:v>
      </x:c>
      <x:c r="B4" s="181" t="str">
        <x:v>DIRECT PORTFOLIO GAP</x:v>
      </x:c>
      <x:c r="C4" s="181" t="n">
        <x:v>3</x:v>
      </x:c>
      <x:c r="D4" s="181" t="str">
        <x:v>P0</x:v>
      </x:c>
      <x:c r="E4" s="181" t="str">
        <x:v>Cedrat FCF Oil Sicilian</x:v>
      </x:c>
      <x:c r="F4" s="181" t="str">
        <x:v>OUT OF STOCK — CONFIRMED</x:v>
      </x:c>
      <x:c r="G4" s="181" t="str">
        <x:v>BUY EXACT FCF OIL</x:v>
      </x:c>
      <x:c r="H4" s="181" t="str">
        <x:v>ESSENTIAL UNBLOCKER</x:v>
      </x:c>
      <x:c r="I4" s="181" t="n">
        <x:v>52</x:v>
      </x:c>
      <x:c r="J4" s="181" t="n">
        <x:v>52</x:v>
      </x:c>
      <x:c r="K4" s="181" t="str">
        <x:v>HIGH</x:v>
      </x:c>
      <x:c r="L4" s="181" t="str">
        <x:v>HIGH</x:v>
      </x:c>
      <x:c r="M4" s="181" t="str">
        <x:v>HIGH</x:v>
      </x:c>
      <x:c r="N4" s="181" t="str">
        <x:v>Dry citron pith, bitter peel and aromatic-citrus definition.</x:v>
      </x:c>
      <x:c r="O4" s="181" t="str">
        <x:v>Citrus top; aromatic woods; cologne; fresh amber</x:v>
      </x:c>
      <x:c r="P4" s="181" t="str">
        <x:v>Decide whether Cedrat FCF Oil Sicilian should enter the next bounded accord and formula screens at exact stock.</x:v>
      </x:c>
      <x:c r="Q4" s="181" t="str">
        <x:v>ADEQUATE</x:v>
      </x:c>
      <x:c r="R4" s="181" t="str">
        <x:v>CURRENT QUOTE REQUIRED</x:v>
      </x:c>
      <x:c r="S4" s="181" t="str">
        <x:v>NOT TESTED</x:v>
      </x:c>
      <x:c r="T4" s="181" t="str">
        <x:v>Kenny_Current_Perfumery_Inventory_Master_Aug2026_v5.xlsx</x:v>
      </x:c>
      <x:c r="U4" s="181" t="str"/>
      <x:c r="V4" s="181" t="str">
        <x:v>Current V5 exact formula gap.</x:v>
      </x:c>
    </x:row>
    <x:row r="5">
      <x:c r="A5" s="181" t="n">
        <x:v>4</x:v>
      </x:c>
      <x:c r="B5" s="181" t="str">
        <x:v>DIRECT PORTFOLIO GAP</x:v>
      </x:c>
      <x:c r="C5" s="181" t="n">
        <x:v>4</x:v>
      </x:c>
      <x:c r="D5" s="181" t="str">
        <x:v>P0-AUTH</x:v>
      </x:c>
      <x:c r="E5" s="181" t="str">
        <x:v>Globanone 50%</x:v>
      </x:c>
      <x:c r="F5" s="181" t="str">
        <x:v>GAP</x:v>
      </x:c>
      <x:c r="G5" s="181" t="str">
        <x:v>VERIFY BOTTLE BEFORE BUY</x:v>
      </x:c>
      <x:c r="H5" s="181" t="str">
        <x:v>EVIDENCE GAP, NOT INVENTORY GAP</x:v>
      </x:c>
      <x:c r="I5" s="181" t="n">
        <x:v>49</x:v>
      </x:c>
      <x:c r="J5" s="181" t="n">
        <x:v>49</x:v>
      </x:c>
      <x:c r="K5" s="181" t="str">
        <x:v>VERY HIGH</x:v>
      </x:c>
      <x:c r="L5" s="181" t="str">
        <x:v>VERY HIGH</x:v>
      </x:c>
      <x:c r="M5" s="181" t="str">
        <x:v>HIGH</x:v>
      </x:c>
      <x:c r="N5" s="181" t="str">
        <x:v>Macrocyclic-musk body, skin texture and persistence hypothesis.</x:v>
      </x:c>
      <x:c r="O5" s="181" t="str">
        <x:v>Clean musk; skin musk; floral musk; woody musk</x:v>
      </x:c>
      <x:c r="P5" s="181" t="str">
        <x:v>Decide whether Globanone 50% should enter the next bounded accord and formula screens at exact stock.</x:v>
      </x:c>
      <x:c r="Q5" s="181" t="str">
        <x:v>CONFLICT — VERIFY</x:v>
      </x:c>
      <x:c r="R5" s="181" t="str">
        <x:v>CURRENT QUOTE REQUIRED</x:v>
      </x:c>
      <x:c r="S5" s="181" t="str">
        <x:v>NOT TESTED</x:v>
      </x:c>
      <x:c r="T5" s="181" t="str">
        <x:v>Kenny_Current_Perfumery_Inventory_Master_Aug2026_v5.xlsx</x:v>
      </x:c>
      <x:c r="U5" s="181" t="str"/>
      <x:c r="V5" s="181" t="str">
        <x:v>V5 marks GAP, but earlier inventory history reported ownership. Resolve the conflict before repurchase.</x:v>
      </x:c>
    </x:row>
    <x:row r="6">
      <x:c r="A6" s="181" t="n">
        <x:v>5</x:v>
      </x:c>
      <x:c r="B6" s="181" t="str">
        <x:v>DIRECT PORTFOLIO GAP</x:v>
      </x:c>
      <x:c r="C6" s="181" t="n">
        <x:v>5</x:v>
      </x:c>
      <x:c r="D6" s="181" t="str">
        <x:v>P0-AUTH</x:v>
      </x:c>
      <x:c r="E6" s="181" t="str">
        <x:v>Amber Core 10%</x:v>
      </x:c>
      <x:c r="F6" s="181" t="str">
        <x:v>GAP</x:v>
      </x:c>
      <x:c r="G6" s="181" t="str">
        <x:v>VERIFY BOTTLE BEFORE BUY</x:v>
      </x:c>
      <x:c r="H6" s="181" t="str">
        <x:v>EVIDENCE GAP, NOT INVENTORY GAP</x:v>
      </x:c>
      <x:c r="I6" s="181" t="n">
        <x:v>48</x:v>
      </x:c>
      <x:c r="J6" s="181" t="n">
        <x:v>48</x:v>
      </x:c>
      <x:c r="K6" s="181" t="str">
        <x:v>HIGH</x:v>
      </x:c>
      <x:c r="L6" s="181" t="str">
        <x:v>HIGH</x:v>
      </x:c>
      <x:c r="M6" s="181" t="str">
        <x:v>HIGH</x:v>
      </x:c>
      <x:c r="N6" s="181" t="str">
        <x:v>Rounded amber body and bridge between sweet balsamic, woods and musk.</x:v>
      </x:c>
      <x:c r="O6" s="181" t="str">
        <x:v>Soft amber; amber floral; woody amber; gourmand amber</x:v>
      </x:c>
      <x:c r="P6" s="181" t="str">
        <x:v>Decide whether Amber Core 10% should enter the next bounded accord and formula screens at exact stock.</x:v>
      </x:c>
      <x:c r="Q6" s="181" t="str">
        <x:v>CONFLICT — VERIFY</x:v>
      </x:c>
      <x:c r="R6" s="181" t="str">
        <x:v>CURRENT QUOTE REQUIRED</x:v>
      </x:c>
      <x:c r="S6" s="181" t="str">
        <x:v>NOT TESTED</x:v>
      </x:c>
      <x:c r="T6" s="181" t="str">
        <x:v>Kenny_Current_Perfumery_Inventory_Master_Aug2026_v5.xlsx</x:v>
      </x:c>
      <x:c r="U6" s="181" t="str"/>
      <x:c r="V6" s="181" t="str">
        <x:v>V5 marks GAP, but earlier inventory history reported ownership. Resolve the conflict before repurchase.</x:v>
      </x:c>
    </x:row>
    <x:row r="7">
      <x:c r="A7" s="181" t="n">
        <x:v>6</x:v>
      </x:c>
      <x:c r="B7" s="181" t="str">
        <x:v>DIRECT PORTFOLIO GAP</x:v>
      </x:c>
      <x:c r="C7" s="181" t="n">
        <x:v>6</x:v>
      </x:c>
      <x:c r="D7" s="181" t="str">
        <x:v>P0-AUTH</x:v>
      </x:c>
      <x:c r="E7" s="181" t="str">
        <x:v>Amber Xtreme 0.1%</x:v>
      </x:c>
      <x:c r="F7" s="181" t="str">
        <x:v>GAP</x:v>
      </x:c>
      <x:c r="G7" s="181" t="str">
        <x:v>VERIFY BOTTLE BEFORE BUY</x:v>
      </x:c>
      <x:c r="H7" s="181" t="str">
        <x:v>EVIDENCE GAP, NOT INVENTORY GAP</x:v>
      </x:c>
      <x:c r="I7" s="181" t="n">
        <x:v>47</x:v>
      </x:c>
      <x:c r="J7" s="181" t="n">
        <x:v>47</x:v>
      </x:c>
      <x:c r="K7" s="181" t="str">
        <x:v>VERY HIGH</x:v>
      </x:c>
      <x:c r="L7" s="181" t="str">
        <x:v>VERY HIGH</x:v>
      </x:c>
      <x:c r="M7" s="181" t="str">
        <x:v>CRITICAL</x:v>
      </x:c>
      <x:c r="N7" s="181" t="str">
        <x:v>Trace amberwood pressure, diffusion and late skeleton; overdose risk is substantial.</x:v>
      </x:c>
      <x:c r="O7" s="181" t="str">
        <x:v>Woody amber; mineral musk; citrus amber; performance scaffolds</x:v>
      </x:c>
      <x:c r="P7" s="181" t="str">
        <x:v>Decide whether Amber Xtreme 0.1% should enter the next bounded accord and formula screens at exact stock.</x:v>
      </x:c>
      <x:c r="Q7" s="181" t="str">
        <x:v>CONFLICT — VERIFY</x:v>
      </x:c>
      <x:c r="R7" s="181" t="str">
        <x:v>CURRENT QUOTE REQUIRED</x:v>
      </x:c>
      <x:c r="S7" s="181" t="str">
        <x:v>NOT TESTED</x:v>
      </x:c>
      <x:c r="T7" s="181" t="str">
        <x:v>Kenny_Current_Perfumery_Inventory_Master_Aug2026_v5.xlsx</x:v>
      </x:c>
      <x:c r="U7" s="181" t="str">
        <x:v>https://www.iff.com/scent/ingredients-compendium/amber-xtreme-2/</x:v>
      </x:c>
      <x:c r="V7" s="181" t="str">
        <x:v>V5 marks GAP, but earlier inventory history reported ownership. Resolve exact stock before repurchase.</x:v>
      </x:c>
    </x:row>
    <x:row r="8">
      <x:c r="A8" s="181" t="n">
        <x:v>7</x:v>
      </x:c>
      <x:c r="B8" s="181" t="str">
        <x:v>DIRECT PORTFOLIO GAP</x:v>
      </x:c>
      <x:c r="C8" s="181" t="n">
        <x:v>7</x:v>
      </x:c>
      <x:c r="D8" s="181" t="str">
        <x:v>P0</x:v>
      </x:c>
      <x:c r="E8" s="181" t="str">
        <x:v>Nutmeg EO</x:v>
      </x:c>
      <x:c r="F8" s="181" t="str">
        <x:v>GAP</x:v>
      </x:c>
      <x:c r="G8" s="181" t="str">
        <x:v>BUY EXACT OIL</x:v>
      </x:c>
      <x:c r="H8" s="181" t="str">
        <x:v>ESSENTIAL UNBLOCKER</x:v>
      </x:c>
      <x:c r="I8" s="181" t="n">
        <x:v>44</x:v>
      </x:c>
      <x:c r="J8" s="181" t="n">
        <x:v>44</x:v>
      </x:c>
      <x:c r="K8" s="181" t="str">
        <x:v>HIGH</x:v>
      </x:c>
      <x:c r="L8" s="181" t="str">
        <x:v>HIGH</x:v>
      </x:c>
      <x:c r="M8" s="181" t="str">
        <x:v>HIGH</x:v>
      </x:c>
      <x:c r="N8" s="181" t="str">
        <x:v>Warm diffusive spice, woody sweetness and top-heart-base bridging.</x:v>
      </x:c>
      <x:c r="O8" s="181" t="str">
        <x:v>Spice woods; tobacco; amber; aromatic; gourmand</x:v>
      </x:c>
      <x:c r="P8" s="181" t="str">
        <x:v>Decide whether Nutmeg EO should enter the next bounded accord and formula screens at exact stock.</x:v>
      </x:c>
      <x:c r="Q8" s="181" t="str">
        <x:v>ADEQUATE</x:v>
      </x:c>
      <x:c r="R8" s="181" t="str">
        <x:v>CURRENT QUOTE REQUIRED</x:v>
      </x:c>
      <x:c r="S8" s="181" t="str">
        <x:v>NOT TESTED</x:v>
      </x:c>
      <x:c r="T8" s="181" t="str">
        <x:v>Kenny_Current_Perfumery_Inventory_Master_Aug2026_v5.xlsx</x:v>
      </x:c>
      <x:c r="U8" s="181" t="str"/>
      <x:c r="V8" s="181" t="str">
        <x:v>Current V5 direct formula gap.</x:v>
      </x:c>
    </x:row>
    <x:row r="9">
      <x:c r="A9" s="181" t="n">
        <x:v>8</x:v>
      </x:c>
      <x:c r="B9" s="181" t="str">
        <x:v>DIRECT PORTFOLIO GAP</x:v>
      </x:c>
      <x:c r="C9" s="181" t="n">
        <x:v>8</x:v>
      </x:c>
      <x:c r="D9" s="181" t="str">
        <x:v>P0-AUTH</x:v>
      </x:c>
      <x:c r="E9" s="181" t="str">
        <x:v>Jasmonyl</x:v>
      </x:c>
      <x:c r="F9" s="181" t="str">
        <x:v>GAP — DISTINCT MATERIAL</x:v>
      </x:c>
      <x:c r="G9" s="181" t="str">
        <x:v>VERIFY BOTTLE BEFORE BUY</x:v>
      </x:c>
      <x:c r="H9" s="181" t="str">
        <x:v>EVIDENCE GAP, NOT INVENTORY GAP</x:v>
      </x:c>
      <x:c r="I9" s="181" t="n">
        <x:v>38</x:v>
      </x:c>
      <x:c r="J9" s="181" t="n">
        <x:v>38</x:v>
      </x:c>
      <x:c r="K9" s="181" t="str">
        <x:v>HIGH</x:v>
      </x:c>
      <x:c r="L9" s="181" t="str">
        <x:v>HIGH</x:v>
      </x:c>
      <x:c r="M9" s="181" t="str">
        <x:v>HIGH</x:v>
      </x:c>
      <x:c r="N9" s="181" t="str">
        <x:v>Lactonic jasmine texture with green/mushroom nuance; distinct from Jessemal and cis-Jasmone.</x:v>
      </x:c>
      <x:c r="O9" s="181" t="str">
        <x:v>Jasmine; white floral; tea floral; floral woods</x:v>
      </x:c>
      <x:c r="P9" s="181" t="str">
        <x:v>Decide whether Jasmonyl should enter the next bounded accord and formula screens at exact stock.</x:v>
      </x:c>
      <x:c r="Q9" s="181" t="str">
        <x:v>CONFLICT — VERIFY</x:v>
      </x:c>
      <x:c r="R9" s="181" t="str">
        <x:v>CURRENT QUOTE REQUIRED</x:v>
      </x:c>
      <x:c r="S9" s="181" t="str">
        <x:v>NOT TESTED</x:v>
      </x:c>
      <x:c r="T9" s="181" t="str">
        <x:v>Kenny_Current_Perfumery_Inventory_Master_Aug2026_v5.xlsx</x:v>
      </x:c>
      <x:c r="U9" s="181" t="str"/>
      <x:c r="V9" s="181" t="str">
        <x:v>V5 marks a distinct-material gap, while earlier inventory history reported ownership.</x:v>
      </x:c>
    </x:row>
    <x:row r="10">
      <x:c r="A10" s="181" t="n">
        <x:v>9</x:v>
      </x:c>
      <x:c r="B10" s="181" t="str">
        <x:v>DIRECT PORTFOLIO GAP</x:v>
      </x:c>
      <x:c r="C10" s="181" t="n">
        <x:v>9</x:v>
      </x:c>
      <x:c r="D10" s="181" t="str">
        <x:v>P1</x:v>
      </x:c>
      <x:c r="E10" s="181" t="str">
        <x:v>Guaiacwood EO</x:v>
      </x:c>
      <x:c r="F10" s="181" t="str">
        <x:v>GAP</x:v>
      </x:c>
      <x:c r="G10" s="181" t="str">
        <x:v>BUY OR SAMPLE EXACT OIL</x:v>
      </x:c>
      <x:c r="H10" s="181" t="str">
        <x:v>ESSENTIAL UNBLOCKER</x:v>
      </x:c>
      <x:c r="I10" s="181" t="n">
        <x:v>15</x:v>
      </x:c>
      <x:c r="J10" s="181" t="n">
        <x:v>15</x:v>
      </x:c>
      <x:c r="K10" s="181" t="str">
        <x:v>HIGH</x:v>
      </x:c>
      <x:c r="L10" s="181" t="str">
        <x:v>MEDIUM</x:v>
      </x:c>
      <x:c r="M10" s="181" t="str">
        <x:v>HIGH</x:v>
      </x:c>
      <x:c r="N10" s="181" t="str">
        <x:v>Soft smoke, floral wood, balsamic warmth and phenolic depth without relying only on guaiacol.</x:v>
      </x:c>
      <x:c r="O10" s="181" t="str">
        <x:v>Incense wood; leather; tobacco; dark floral; amber</x:v>
      </x:c>
      <x:c r="P10" s="181" t="str">
        <x:v>Decide whether Guaiacwood EO should enter the next bounded accord and formula screens at exact stock.</x:v>
      </x:c>
      <x:c r="Q10" s="181" t="str">
        <x:v>ADEQUATE</x:v>
      </x:c>
      <x:c r="R10" s="181" t="str">
        <x:v>CURRENT QUOTE REQUIRED</x:v>
      </x:c>
      <x:c r="S10" s="181" t="str">
        <x:v>NOT TESTED</x:v>
      </x:c>
      <x:c r="T10" s="181" t="str">
        <x:v>Kenny_Current_Perfumery_Inventory_Master_Aug2026_v5.xlsx</x:v>
      </x:c>
      <x:c r="U10" s="181" t="str">
        <x:v>https://www.perfumersworld.com/sitemap.php</x:v>
      </x:c>
      <x:c r="V10" s="181" t="str">
        <x:v>Current V5 direct formula gap.</x:v>
      </x:c>
    </x:row>
    <x:row r="11">
      <x:c r="A11" s="181" t="n">
        <x:v>10</x:v>
      </x:c>
      <x:c r="B11" s="181" t="str">
        <x:v>DIRECT PORTFOLIO GAP</x:v>
      </x:c>
      <x:c r="C11" s="181" t="n">
        <x:v>10</x:v>
      </x:c>
      <x:c r="D11" s="181" t="str">
        <x:v>P1</x:v>
      </x:c>
      <x:c r="E11" s="181" t="str">
        <x:v>Pink Pepper EO / CO2</x:v>
      </x:c>
      <x:c r="F11" s="181" t="str">
        <x:v>GAP</x:v>
      </x:c>
      <x:c r="G11" s="181" t="str">
        <x:v>BUY ONE EXACT EXTRACT</x:v>
      </x:c>
      <x:c r="H11" s="181" t="str">
        <x:v>USEFUL SPECIALIST</x:v>
      </x:c>
      <x:c r="I11" s="181" t="n">
        <x:v>8</x:v>
      </x:c>
      <x:c r="J11" s="181" t="n">
        <x:v>8</x:v>
      </x:c>
      <x:c r="K11" s="181" t="str">
        <x:v>HIGH</x:v>
      </x:c>
      <x:c r="L11" s="181" t="str">
        <x:v>MEDIUM</x:v>
      </x:c>
      <x:c r="M11" s="181" t="str">
        <x:v>HIGH</x:v>
      </x:c>
      <x:c r="N11" s="181" t="str">
        <x:v>Rosy pepper sparkle, kinetic lift and floral-spice connection.</x:v>
      </x:c>
      <x:c r="O11" s="181" t="str">
        <x:v>Modern citrus; rose; aromatic; woody amber</x:v>
      </x:c>
      <x:c r="P11" s="181" t="str">
        <x:v>Decide whether Pink Pepper EO / CO2 should enter the next bounded accord and formula screens at exact stock.</x:v>
      </x:c>
      <x:c r="Q11" s="181" t="str">
        <x:v>ADEQUATE</x:v>
      </x:c>
      <x:c r="R11" s="181" t="str">
        <x:v>CURRENT QUOTE REQUIRED</x:v>
      </x:c>
      <x:c r="S11" s="181" t="str">
        <x:v>NOT TESTED</x:v>
      </x:c>
      <x:c r="T11" s="181" t="str">
        <x:v>Kenny_Current_Perfumery_Inventory_Master_Aug2026_v5.xlsx</x:v>
      </x:c>
      <x:c r="U11" s="181" t="str">
        <x:v>https://www.perfumersworld.com/sitemap.php</x:v>
      </x:c>
      <x:c r="V11" s="181" t="str">
        <x:v>Current V5 direct formula gap. EO and CO2 are not interchangeable.</x:v>
      </x:c>
    </x:row>
    <x:row r="12">
      <x:c r="A12" s="181" t="n">
        <x:v>11</x:v>
      </x:c>
      <x:c r="B12" s="181" t="str">
        <x:v>DIRECT PORTFOLIO GAP</x:v>
      </x:c>
      <x:c r="C12" s="181" t="n">
        <x:v>11</x:v>
      </x:c>
      <x:c r="D12" s="181" t="str">
        <x:v>P1</x:v>
      </x:c>
      <x:c r="E12" s="181" t="str">
        <x:v>Myrrh Resinoid 50%</x:v>
      </x:c>
      <x:c r="F12" s="181" t="str">
        <x:v>GAP</x:v>
      </x:c>
      <x:c r="G12" s="181" t="str">
        <x:v>SAMPLE EXACT PRODUCT</x:v>
      </x:c>
      <x:c r="H12" s="181" t="str">
        <x:v>USEFUL SPECIALIST</x:v>
      </x:c>
      <x:c r="I12" s="181" t="n">
        <x:v>7</x:v>
      </x:c>
      <x:c r="J12" s="181" t="n">
        <x:v>7</x:v>
      </x:c>
      <x:c r="K12" s="181" t="str">
        <x:v>HIGH</x:v>
      </x:c>
      <x:c r="L12" s="181" t="str">
        <x:v>MEDIUM</x:v>
      </x:c>
      <x:c r="M12" s="181" t="str">
        <x:v>HIGH</x:v>
      </x:c>
      <x:c r="N12" s="181" t="str">
        <x:v>Bitter balsamic, medicinal-incense and dark leather complexity.</x:v>
      </x:c>
      <x:c r="O12" s="181" t="str">
        <x:v>Incense; resin amber; leather; dark floral</x:v>
      </x:c>
      <x:c r="P12" s="181" t="str">
        <x:v>Decide whether Myrrh Resinoid 50% should enter the next bounded accord and formula screens at exact stock.</x:v>
      </x:c>
      <x:c r="Q12" s="181" t="str">
        <x:v>ADEQUATE</x:v>
      </x:c>
      <x:c r="R12" s="181" t="str">
        <x:v>CURRENT QUOTE REQUIRED</x:v>
      </x:c>
      <x:c r="S12" s="181" t="str">
        <x:v>NOT TESTED</x:v>
      </x:c>
      <x:c r="T12" s="181" t="str">
        <x:v>Kenny_Current_Perfumery_Inventory_Master_Aug2026_v5.xlsx</x:v>
      </x:c>
      <x:c r="U12" s="181" t="str"/>
      <x:c r="V12" s="181" t="str">
        <x:v>Current V5 direct formula gap; exact species, extract and carrier matter.</x:v>
      </x:c>
    </x:row>
    <x:row r="13">
      <x:c r="A13" s="181" t="n">
        <x:v>12</x:v>
      </x:c>
      <x:c r="B13" s="181" t="str">
        <x:v>DIRECT PORTFOLIO GAP</x:v>
      </x:c>
      <x:c r="C13" s="181" t="n">
        <x:v>12</x:v>
      </x:c>
      <x:c r="D13" s="181" t="str">
        <x:v>P2</x:v>
      </x:c>
      <x:c r="E13" s="181" t="str">
        <x:v>White Pepper EO / CO2</x:v>
      </x:c>
      <x:c r="F13" s="181" t="str">
        <x:v>GAP</x:v>
      </x:c>
      <x:c r="G13" s="181" t="str">
        <x:v>SAMPLE ONE EXACT EXTRACT</x:v>
      </x:c>
      <x:c r="H13" s="181" t="str">
        <x:v>USEFUL SPECIALIST</x:v>
      </x:c>
      <x:c r="I13" s="181" t="n">
        <x:v>6</x:v>
      </x:c>
      <x:c r="J13" s="181" t="n">
        <x:v>6</x:v>
      </x:c>
      <x:c r="K13" s="181" t="str">
        <x:v>MEDIUM</x:v>
      </x:c>
      <x:c r="L13" s="181" t="str">
        <x:v>MEDIUM</x:v>
      </x:c>
      <x:c r="M13" s="181" t="str">
        <x:v>HIGH</x:v>
      </x:c>
      <x:c r="N13" s="181" t="str">
        <x:v>Dry cool pepper lift distinct from black pepper.</x:v>
      </x:c>
      <x:c r="O13" s="181" t="str">
        <x:v>Spice floral; aromatic woods; tea; incense</x:v>
      </x:c>
      <x:c r="P13" s="181" t="str">
        <x:v>Decide whether White Pepper EO / CO2 should enter the next bounded accord and formula screens at exact stock.</x:v>
      </x:c>
      <x:c r="Q13" s="181" t="str">
        <x:v>ADEQUATE</x:v>
      </x:c>
      <x:c r="R13" s="181" t="str">
        <x:v>CURRENT QUOTE REQUIRED</x:v>
      </x:c>
      <x:c r="S13" s="181" t="str">
        <x:v>NOT TESTED</x:v>
      </x:c>
      <x:c r="T13" s="181" t="str">
        <x:v>Kenny_Current_Perfumery_Inventory_Master_Aug2026_v5.xlsx</x:v>
      </x:c>
      <x:c r="U13" s="181" t="str"/>
      <x:c r="V13" s="181" t="str">
        <x:v>Current V5 direct formula gap. EO and CO2 remain non-equivalent.</x:v>
      </x:c>
    </x:row>
    <x:row r="14">
      <x:c r="A14" s="181" t="n">
        <x:v>13</x:v>
      </x:c>
      <x:c r="B14" s="181" t="str">
        <x:v>DIRECT PORTFOLIO GAP</x:v>
      </x:c>
      <x:c r="C14" s="181" t="n">
        <x:v>13</x:v>
      </x:c>
      <x:c r="D14" s="181" t="str">
        <x:v>P2</x:v>
      </x:c>
      <x:c r="E14" s="181" t="str">
        <x:v>Cedarwood Atlas</x:v>
      </x:c>
      <x:c r="F14" s="181" t="str">
        <x:v>GAP — ATLAS</x:v>
      </x:c>
      <x:c r="G14" s="181" t="str">
        <x:v>SAMPLE EXACT ATLAS OIL</x:v>
      </x:c>
      <x:c r="H14" s="181" t="str">
        <x:v>USEFUL SPECIALIST</x:v>
      </x:c>
      <x:c r="I14" s="181" t="n">
        <x:v>5</x:v>
      </x:c>
      <x:c r="J14" s="181" t="n">
        <x:v>5</x:v>
      </x:c>
      <x:c r="K14" s="181" t="str">
        <x:v>MEDIUM</x:v>
      </x:c>
      <x:c r="L14" s="181" t="str">
        <x:v>MEDIUM</x:v>
      </x:c>
      <x:c r="M14" s="181" t="str">
        <x:v>HIGH</x:v>
      </x:c>
      <x:c r="N14" s="181" t="str">
        <x:v>Warm resinous natural cedar texture distinct from Chinese, Virginia and Himalayan cedar.</x:v>
      </x:c>
      <x:c r="O14" s="181" t="str">
        <x:v>Cedar accord; incense woods; chypre; leather</x:v>
      </x:c>
      <x:c r="P14" s="181" t="str">
        <x:v>Decide whether Cedarwood Atlas should enter the next bounded accord and formula screens at exact stock.</x:v>
      </x:c>
      <x:c r="Q14" s="181" t="str">
        <x:v>ADEQUATE</x:v>
      </x:c>
      <x:c r="R14" s="181" t="str">
        <x:v>CURRENT QUOTE REQUIRED</x:v>
      </x:c>
      <x:c r="S14" s="181" t="str">
        <x:v>NOT TESTED</x:v>
      </x:c>
      <x:c r="T14" s="181" t="str">
        <x:v>Kenny_Current_Perfumery_Inventory_Master_Aug2026_v5.xlsx</x:v>
      </x:c>
      <x:c r="U14" s="181" t="str"/>
      <x:c r="V14" s="181" t="str">
        <x:v>Current V5 direct formula gap; species-specific identity is required.</x:v>
      </x:c>
    </x:row>
    <x:row r="15">
      <x:c r="A15" s="181" t="n">
        <x:v>14</x:v>
      </x:c>
      <x:c r="B15" s="181" t="str">
        <x:v>DIRECT PORTFOLIO GAP</x:v>
      </x:c>
      <x:c r="C15" s="181" t="n">
        <x:v>14</x:v>
      </x:c>
      <x:c r="D15" s="181" t="str">
        <x:v>P2</x:v>
      </x:c>
      <x:c r="E15" s="181" t="str">
        <x:v>Oakwood CO2 10%</x:v>
      </x:c>
      <x:c r="F15" s="181" t="str">
        <x:v>GAP</x:v>
      </x:c>
      <x:c r="G15" s="181" t="str">
        <x:v>SAMPLE EXACT CO2</x:v>
      </x:c>
      <x:c r="H15" s="181" t="str">
        <x:v>USEFUL SPECIALIST</x:v>
      </x:c>
      <x:c r="I15" s="181" t="n">
        <x:v>4</x:v>
      </x:c>
      <x:c r="J15" s="181" t="n">
        <x:v>4</x:v>
      </x:c>
      <x:c r="K15" s="181" t="str">
        <x:v>MEDIUM</x:v>
      </x:c>
      <x:c r="L15" s="181" t="str">
        <x:v>LOW</x:v>
      </x:c>
      <x:c r="M15" s="181" t="str">
        <x:v>HIGH</x:v>
      </x:c>
      <x:c r="N15" s="181" t="str">
        <x:v>Tannic barrel, dry oak and fermented-wood depth.</x:v>
      </x:c>
      <x:c r="O15" s="181" t="str">
        <x:v>Cognac; rum; tobacco; leather; woody gourmand</x:v>
      </x:c>
      <x:c r="P15" s="181" t="str">
        <x:v>Decide whether Oakwood CO2 10% should enter the next bounded accord and formula screens at exact stock.</x:v>
      </x:c>
      <x:c r="Q15" s="181" t="str">
        <x:v>ADEQUATE</x:v>
      </x:c>
      <x:c r="R15" s="181" t="str">
        <x:v>CURRENT QUOTE REQUIRED</x:v>
      </x:c>
      <x:c r="S15" s="181" t="str">
        <x:v>NOT TESTED</x:v>
      </x:c>
      <x:c r="T15" s="181" t="str">
        <x:v>Kenny_Current_Perfumery_Inventory_Master_Aug2026_v5.xlsx</x:v>
      </x:c>
      <x:c r="U15" s="181" t="str"/>
      <x:c r="V15" s="181" t="str">
        <x:v>Current V5 direct formula gap; CO2 is not interchangeable with oak accords.</x:v>
      </x:c>
    </x:row>
    <x:row r="16">
      <x:c r="A16" s="181" t="n">
        <x:v>15</x:v>
      </x:c>
      <x:c r="B16" s="181" t="str">
        <x:v>ARCHITECTURAL EXPANSION</x:v>
      </x:c>
      <x:c r="C16" s="181" t="n">
        <x:v>1</x:v>
      </x:c>
      <x:c r="D16" s="181" t="str">
        <x:v>P1</x:v>
      </x:c>
      <x:c r="E16" s="181" t="str">
        <x:v>Ethylene Brassylate</x:v>
      </x:c>
      <x:c r="F16" s="181" t="str">
        <x:v>NOT IN V5 CURRENT INVENTORY</x:v>
      </x:c>
      <x:c r="G16" s="181" t="str">
        <x:v>SAMPLE / ACQUIRE</x:v>
      </x:c>
      <x:c r="H16" s="181" t="str">
        <x:v>HIGH_VALUE ARCHITECTURAL EXPANSION</x:v>
      </x:c>
      <x:c r="I16" s="181" t="n">
        <x:v>0</x:v>
      </x:c>
      <x:c r="J16" s="181" t="n">
        <x:v>0</x:v>
      </x:c>
      <x:c r="K16" s="181" t="str">
        <x:v>VERY HIGH</x:v>
      </x:c>
      <x:c r="L16" s="181" t="str">
        <x:v>VERY HIGH</x:v>
      </x:c>
      <x:c r="M16" s="181" t="str">
        <x:v>HIGH</x:v>
      </x:c>
      <x:c r="N16" s="181" t="str">
        <x:v>Broad soft clean musk body, fixation and low-cost volume; supplies an independent musk geometry.</x:v>
      </x:c>
      <x:c r="O16" s="181" t="str">
        <x:v>Clean musk; floral musk; woody musk; powder; skin</x:v>
      </x:c>
      <x:c r="P16" s="181" t="str">
        <x:v>Decide whether Ethylene Brassylate opens a non-redundant, physically preferred accord branch versus current stock.</x:v>
      </x:c>
      <x:c r="Q16" s="181" t="str">
        <x:v>SUPPLIER / EXACT STOCK REQUIRED</x:v>
      </x:c>
      <x:c r="R16" s="181" t="str">
        <x:v>CURRENT QUOTE REQUIRED</x:v>
      </x:c>
      <x:c r="S16" s="181" t="str">
        <x:v>NOT TESTED</x:v>
      </x:c>
      <x:c r="T16" s="181" t="str">
        <x:v>Program v3 purchase-intelligence rules + user-declared gaps</x:v>
      </x:c>
      <x:c r="U16" s="181" t="str">
        <x:v>https://www.perfumersworld.com/sitemap.php</x:v>
      </x:c>
      <x:c r="V16" s="181" t="str">
        <x:v>Ranking is an architectural and sensory-leverage hypothesis. It does not establish beauty, broad appeal, target identity, safety or stability.</x:v>
      </x:c>
    </x:row>
    <x:row r="17">
      <x:c r="A17" s="181" t="n">
        <x:v>16</x:v>
      </x:c>
      <x:c r="B17" s="181" t="str">
        <x:v>ARCHITECTURAL EXPANSION</x:v>
      </x:c>
      <x:c r="C17" s="181" t="n">
        <x:v>2</x:v>
      </x:c>
      <x:c r="D17" s="181" t="str">
        <x:v>P1</x:v>
      </x:c>
      <x:c r="E17" s="181" t="str">
        <x:v>Vetiveryl Acetate</x:v>
      </x:c>
      <x:c r="F17" s="181" t="str">
        <x:v>NOT IN V5 CURRENT INVENTORY</x:v>
      </x:c>
      <x:c r="G17" s="181" t="str">
        <x:v>SAMPLE / ACQUIRE</x:v>
      </x:c>
      <x:c r="H17" s="181" t="str">
        <x:v>HIGH_VALUE ARCHITECTURAL EXPANSION</x:v>
      </x:c>
      <x:c r="I17" s="181" t="n">
        <x:v>0</x:v>
      </x:c>
      <x:c r="J17" s="181" t="n">
        <x:v>0</x:v>
      </x:c>
      <x:c r="K17" s="181" t="str">
        <x:v>VERY HIGH</x:v>
      </x:c>
      <x:c r="L17" s="181" t="str">
        <x:v>VERY HIGH</x:v>
      </x:c>
      <x:c r="M17" s="181" t="str">
        <x:v>HIGH</x:v>
      </x:c>
      <x:c r="N17" s="181" t="str">
        <x:v>Polished dry vetiver, clean rootwood and elegant heart-to-base bridge.</x:v>
      </x:c>
      <x:c r="O17" s="181" t="str">
        <x:v>Vetiver; citrus woods; chypre; iris woods; aromatic</x:v>
      </x:c>
      <x:c r="P17" s="181" t="str">
        <x:v>Decide whether Vetiveryl Acetate opens a non-redundant, physically preferred accord branch versus current stock.</x:v>
      </x:c>
      <x:c r="Q17" s="181" t="str">
        <x:v>SUPPLIER / EXACT STOCK REQUIRED</x:v>
      </x:c>
      <x:c r="R17" s="181" t="str">
        <x:v>CURRENT QUOTE REQUIRED</x:v>
      </x:c>
      <x:c r="S17" s="181" t="str">
        <x:v>NOT TESTED</x:v>
      </x:c>
      <x:c r="T17" s="181" t="str">
        <x:v>Program v3 purchase-intelligence rules + user-declared gaps</x:v>
      </x:c>
      <x:c r="U17" s="181" t="str">
        <x:v>https://www.perfumersworld.com/sitemap.php</x:v>
      </x:c>
      <x:c r="V17" s="181" t="str">
        <x:v>Ranking is an architectural and sensory-leverage hypothesis. It does not establish beauty, broad appeal, target identity, safety or stability.</x:v>
      </x:c>
    </x:row>
    <x:row r="18">
      <x:c r="A18" s="181" t="n">
        <x:v>17</x:v>
      </x:c>
      <x:c r="B18" s="181" t="str">
        <x:v>ARCHITECTURAL EXPANSION</x:v>
      </x:c>
      <x:c r="C18" s="181" t="n">
        <x:v>3</x:v>
      </x:c>
      <x:c r="D18" s="181" t="str">
        <x:v>P1</x:v>
      </x:c>
      <x:c r="E18" s="181" t="str">
        <x:v>Hedione High Cis</x:v>
      </x:c>
      <x:c r="F18" s="181" t="str">
        <x:v>NOT IN V5 CURRENT INVENTORY</x:v>
      </x:c>
      <x:c r="G18" s="181" t="str">
        <x:v>SAMPLE FIRST</x:v>
      </x:c>
      <x:c r="H18" s="181" t="str">
        <x:v>HIGH_VALUE ARCHITECTURAL EXPANSION</x:v>
      </x:c>
      <x:c r="I18" s="181" t="n">
        <x:v>0</x:v>
      </x:c>
      <x:c r="J18" s="181" t="n">
        <x:v>0</x:v>
      </x:c>
      <x:c r="K18" s="181" t="str">
        <x:v>VERY HIGH</x:v>
      </x:c>
      <x:c r="L18" s="181" t="str">
        <x:v>VERY HIGH</x:v>
      </x:c>
      <x:c r="M18" s="181" t="str">
        <x:v>MODERATE</x:v>
      </x:c>
      <x:c r="N18" s="181" t="str">
        <x:v>Higher-impact floral-air and bloom axis to compare against the owned standard Hedione.</x:v>
      </x:c>
      <x:c r="O18" s="181" t="str">
        <x:v>Jasmine air; muguet; rose; citrus floral; transparent woods</x:v>
      </x:c>
      <x:c r="P18" s="181" t="str">
        <x:v>Decide whether Hedione High Cis opens a non-redundant, physically preferred accord branch versus current stock.</x:v>
      </x:c>
      <x:c r="Q18" s="181" t="str">
        <x:v>SUPPLIER / EXACT STOCK REQUIRED</x:v>
      </x:c>
      <x:c r="R18" s="181" t="str">
        <x:v>CURRENT QUOTE REQUIRED</x:v>
      </x:c>
      <x:c r="S18" s="181" t="str">
        <x:v>NOT TESTED</x:v>
      </x:c>
      <x:c r="T18" s="181" t="str">
        <x:v>Program v3 purchase-intelligence rules + user-declared gaps</x:v>
      </x:c>
      <x:c r="U18" s="181" t="str">
        <x:v>https://www.perfumersworld.com/sitemap.php</x:v>
      </x:c>
      <x:c r="V18" s="181" t="str">
        <x:v>Ranking is an architectural and sensory-leverage hypothesis. It does not establish beauty, broad appeal, target identity, safety or stability.</x:v>
      </x:c>
    </x:row>
    <x:row r="19">
      <x:c r="A19" s="181" t="n">
        <x:v>18</x:v>
      </x:c>
      <x:c r="B19" s="181" t="str">
        <x:v>ARCHITECTURAL EXPANSION</x:v>
      </x:c>
      <x:c r="C19" s="181" t="n">
        <x:v>4</x:v>
      </x:c>
      <x:c r="D19" s="181" t="str">
        <x:v>P1</x:v>
      </x:c>
      <x:c r="E19" s="181" t="str">
        <x:v>Ethyl Linalool</x:v>
      </x:c>
      <x:c r="F19" s="181" t="str">
        <x:v>NOT IN V5 CURRENT INVENTORY</x:v>
      </x:c>
      <x:c r="G19" s="181" t="str">
        <x:v>SAMPLE / ACQUIRE</x:v>
      </x:c>
      <x:c r="H19" s="181" t="str">
        <x:v>HIGH_VALUE ARCHITECTURAL EXPANSION</x:v>
      </x:c>
      <x:c r="I19" s="181" t="n">
        <x:v>0</x:v>
      </x:c>
      <x:c r="J19" s="181" t="n">
        <x:v>0</x:v>
      </x:c>
      <x:c r="K19" s="181" t="str">
        <x:v>VERY HIGH</x:v>
      </x:c>
      <x:c r="L19" s="181" t="str">
        <x:v>VERY HIGH</x:v>
      </x:c>
      <x:c r="M19" s="181" t="str">
        <x:v>HIGH</x:v>
      </x:c>
      <x:c r="N19" s="181" t="str">
        <x:v>Clean floral-aromatic lift and top-heart continuity on a distinct axis from linalool.</x:v>
      </x:c>
      <x:c r="O19" s="181" t="str">
        <x:v>Aromatic; lavender; citrus floral; muguet; modern clean</x:v>
      </x:c>
      <x:c r="P19" s="181" t="str">
        <x:v>Decide whether Ethyl Linalool opens a non-redundant, physically preferred accord branch versus current stock.</x:v>
      </x:c>
      <x:c r="Q19" s="181" t="str">
        <x:v>SUPPLIER / EXACT STOCK REQUIRED</x:v>
      </x:c>
      <x:c r="R19" s="181" t="str">
        <x:v>CURRENT QUOTE REQUIRED</x:v>
      </x:c>
      <x:c r="S19" s="181" t="str">
        <x:v>NOT TESTED</x:v>
      </x:c>
      <x:c r="T19" s="181" t="str">
        <x:v>Program v3 purchase-intelligence rules + user-declared gaps</x:v>
      </x:c>
      <x:c r="U19" s="181" t="str">
        <x:v>https://www.perfumersworld.com/sitemap.php</x:v>
      </x:c>
      <x:c r="V19" s="181" t="str">
        <x:v>Ranking is an architectural and sensory-leverage hypothesis. It does not establish beauty, broad appeal, target identity, safety or stability.</x:v>
      </x:c>
    </x:row>
    <x:row r="20">
      <x:c r="A20" s="181" t="n">
        <x:v>19</x:v>
      </x:c>
      <x:c r="B20" s="181" t="str">
        <x:v>ARCHITECTURAL EXPANSION</x:v>
      </x:c>
      <x:c r="C20" s="181" t="n">
        <x:v>5</x:v>
      </x:c>
      <x:c r="D20" s="181" t="str">
        <x:v>P1</x:v>
      </x:c>
      <x:c r="E20" s="181" t="str">
        <x:v>Methyl Ionone Gamma Coeur</x:v>
      </x:c>
      <x:c r="F20" s="181" t="str">
        <x:v>NOT IN V5 CURRENT INVENTORY</x:v>
      </x:c>
      <x:c r="G20" s="181" t="str">
        <x:v>SAMPLE / ACQUIRE</x:v>
      </x:c>
      <x:c r="H20" s="181" t="str">
        <x:v>HIGH_VALUE ARCHITECTURAL EXPANSION</x:v>
      </x:c>
      <x:c r="I20" s="181" t="n">
        <x:v>0</x:v>
      </x:c>
      <x:c r="J20" s="181" t="n">
        <x:v>0</x:v>
      </x:c>
      <x:c r="K20" s="181" t="str">
        <x:v>VERY HIGH</x:v>
      </x:c>
      <x:c r="L20" s="181" t="str">
        <x:v>HIGH</x:v>
      </x:c>
      <x:c r="M20" s="181" t="str">
        <x:v>HIGH</x:v>
      </x:c>
      <x:c r="N20" s="181" t="str">
        <x:v>Dense polished iris-violet body and cosmetic texture unavailable from the current ionone set in the same geometry.</x:v>
      </x:c>
      <x:c r="O20" s="181" t="str">
        <x:v>Iris; violet; orris; suede floral; woody powder</x:v>
      </x:c>
      <x:c r="P20" s="181" t="str">
        <x:v>Decide whether Methyl Ionone Gamma Coeur opens a non-redundant, physically preferred accord branch versus current stock.</x:v>
      </x:c>
      <x:c r="Q20" s="181" t="str">
        <x:v>SUPPLIER / EXACT STOCK REQUIRED</x:v>
      </x:c>
      <x:c r="R20" s="181" t="str">
        <x:v>CURRENT QUOTE REQUIRED</x:v>
      </x:c>
      <x:c r="S20" s="181" t="str">
        <x:v>NOT TESTED</x:v>
      </x:c>
      <x:c r="T20" s="181" t="str">
        <x:v>Program v3 purchase-intelligence rules + user-declared gaps</x:v>
      </x:c>
      <x:c r="U20" s="181" t="str">
        <x:v>https://www.iff.com/sitemap/</x:v>
      </x:c>
      <x:c r="V20" s="181" t="str">
        <x:v>Ranking is an architectural and sensory-leverage hypothesis. It does not establish beauty, broad appeal, target identity, safety or stability.</x:v>
      </x:c>
    </x:row>
    <x:row r="21">
      <x:c r="A21" s="181" t="n">
        <x:v>20</x:v>
      </x:c>
      <x:c r="B21" s="181" t="str">
        <x:v>ARCHITECTURAL EXPANSION</x:v>
      </x:c>
      <x:c r="C21" s="181" t="n">
        <x:v>6</x:v>
      </x:c>
      <x:c r="D21" s="181" t="str">
        <x:v>P1</x:v>
      </x:c>
      <x:c r="E21" s="181" t="str">
        <x:v>Bacdanol</x:v>
      </x:c>
      <x:c r="F21" s="181" t="str">
        <x:v>NOT IN V5 CURRENT INVENTORY</x:v>
      </x:c>
      <x:c r="G21" s="181" t="str">
        <x:v>SAMPLE / ACQUIRE</x:v>
      </x:c>
      <x:c r="H21" s="181" t="str">
        <x:v>HIGH_VALUE ARCHITECTURAL EXPANSION</x:v>
      </x:c>
      <x:c r="I21" s="181" t="n">
        <x:v>0</x:v>
      </x:c>
      <x:c r="J21" s="181" t="n">
        <x:v>0</x:v>
      </x:c>
      <x:c r="K21" s="181" t="str">
        <x:v>VERY HIGH</x:v>
      </x:c>
      <x:c r="L21" s="181" t="str">
        <x:v>HIGH</x:v>
      </x:c>
      <x:c r="M21" s="181" t="str">
        <x:v>HIGH</x:v>
      </x:c>
      <x:c r="N21" s="181" t="str">
        <x:v>Powerful true-sandalwood support with high diffusion and long floral reinforcement.</x:v>
      </x:c>
      <x:c r="O21" s="181" t="str">
        <x:v>Creamy woods; floral woods; amber; skin woods</x:v>
      </x:c>
      <x:c r="P21" s="181" t="str">
        <x:v>Decide whether Bacdanol opens a non-redundant, physically preferred accord branch versus current stock.</x:v>
      </x:c>
      <x:c r="Q21" s="181" t="str">
        <x:v>SUPPLIER / EXACT STOCK REQUIRED</x:v>
      </x:c>
      <x:c r="R21" s="181" t="str">
        <x:v>CURRENT QUOTE REQUIRED</x:v>
      </x:c>
      <x:c r="S21" s="181" t="str">
        <x:v>NOT TESTED</x:v>
      </x:c>
      <x:c r="T21" s="181" t="str">
        <x:v>Program v3 purchase-intelligence rules + user-declared gaps</x:v>
      </x:c>
      <x:c r="U21" s="181" t="str">
        <x:v>https://www.iff.com/scent/ingredients-compendium/bacdanol/</x:v>
      </x:c>
      <x:c r="V21" s="181" t="str">
        <x:v>Ranking is an architectural and sensory-leverage hypothesis. It does not establish beauty, broad appeal, target identity, safety or stability.</x:v>
      </x:c>
    </x:row>
    <x:row r="22">
      <x:c r="A22" s="181" t="n">
        <x:v>21</x:v>
      </x:c>
      <x:c r="B22" s="181" t="str">
        <x:v>ARCHITECTURAL EXPANSION</x:v>
      </x:c>
      <x:c r="C22" s="181" t="n">
        <x:v>7</x:v>
      </x:c>
      <x:c r="D22" s="181" t="str">
        <x:v>P1</x:v>
      </x:c>
      <x:c r="E22" s="181" t="str">
        <x:v>Muscenone Delta</x:v>
      </x:c>
      <x:c r="F22" s="181" t="str">
        <x:v>NOT IN V5 CURRENT INVENTORY</x:v>
      </x:c>
      <x:c r="G22" s="181" t="str">
        <x:v>SAMPLE FIRST / SUPPLIER LOCK</x:v>
      </x:c>
      <x:c r="H22" s="181" t="str">
        <x:v>HIGH_VALUE ARCHITECTURAL EXPANSION</x:v>
      </x:c>
      <x:c r="I22" s="181" t="n">
        <x:v>0</x:v>
      </x:c>
      <x:c r="J22" s="181" t="n">
        <x:v>0</x:v>
      </x:c>
      <x:c r="K22" s="181" t="str">
        <x:v>VERY HIGH</x:v>
      </x:c>
      <x:c r="L22" s="181" t="str">
        <x:v>MEDIUM</x:v>
      </x:c>
      <x:c r="M22" s="181" t="str">
        <x:v>HIGH</x:v>
      </x:c>
      <x:c r="N22" s="181" t="str">
        <x:v>Refined warm skin-musk microtexture and luxury residue hypothesis.</x:v>
      </x:c>
      <x:c r="O22" s="181" t="str">
        <x:v>Skin musk; orris musk; floral musk; amber skin</x:v>
      </x:c>
      <x:c r="P22" s="181" t="str">
        <x:v>Decide whether Muscenone Delta opens a non-redundant, physically preferred accord branch versus current stock.</x:v>
      </x:c>
      <x:c r="Q22" s="181" t="str">
        <x:v>SUPPLIER / EXACT STOCK REQUIRED</x:v>
      </x:c>
      <x:c r="R22" s="181" t="str">
        <x:v>CURRENT QUOTE REQUIRED</x:v>
      </x:c>
      <x:c r="S22" s="181" t="str">
        <x:v>NOT TESTED</x:v>
      </x:c>
      <x:c r="T22" s="181" t="str">
        <x:v>Program v3 purchase-intelligence rules + user-declared gaps</x:v>
      </x:c>
      <x:c r="U22" s="181" t="str"/>
      <x:c r="V22" s="181" t="str">
        <x:v>Ranking is an architectural and sensory-leverage hypothesis. It does not establish beauty, broad appeal, target identity, safety or stability.</x:v>
      </x:c>
    </x:row>
    <x:row r="23">
      <x:c r="A23" s="181" t="n">
        <x:v>22</x:v>
      </x:c>
      <x:c r="B23" s="181" t="str">
        <x:v>ARCHITECTURAL EXPANSION</x:v>
      </x:c>
      <x:c r="C23" s="181" t="n">
        <x:v>8</x:v>
      </x:c>
      <x:c r="D23" s="181" t="str">
        <x:v>P1</x:v>
      </x:c>
      <x:c r="E23" s="181" t="str">
        <x:v>Liffarome</x:v>
      </x:c>
      <x:c r="F23" s="181" t="str">
        <x:v>NOT IN V5 CURRENT INVENTORY</x:v>
      </x:c>
      <x:c r="G23" s="181" t="str">
        <x:v>SAMPLE / ACQUIRE</x:v>
      </x:c>
      <x:c r="H23" s="181" t="str">
        <x:v>HIGH_VALUE ARCHITECTURAL EXPANSION</x:v>
      </x:c>
      <x:c r="I23" s="181" t="n">
        <x:v>0</x:v>
      </x:c>
      <x:c r="J23" s="181" t="n">
        <x:v>0</x:v>
      </x:c>
      <x:c r="K23" s="181" t="str">
        <x:v>HIGH</x:v>
      </x:c>
      <x:c r="L23" s="181" t="str">
        <x:v>HIGH</x:v>
      </x:c>
      <x:c r="M23" s="181" t="str">
        <x:v>HIGH</x:v>
      </x:c>
      <x:c r="N23" s="181" t="str">
        <x:v>Trace-effective violet-green, pear and grass sparkle linking leaf, fruit and floral systems.</x:v>
      </x:c>
      <x:c r="O23" s="181" t="str">
        <x:v>Green floral; pear; violet leaf; citrus; muguet</x:v>
      </x:c>
      <x:c r="P23" s="181" t="str">
        <x:v>Decide whether Liffarome opens a non-redundant, physically preferred accord branch versus current stock.</x:v>
      </x:c>
      <x:c r="Q23" s="181" t="str">
        <x:v>SUPPLIER / EXACT STOCK REQUIRED</x:v>
      </x:c>
      <x:c r="R23" s="181" t="str">
        <x:v>CURRENT QUOTE REQUIRED</x:v>
      </x:c>
      <x:c r="S23" s="181" t="str">
        <x:v>NOT TESTED</x:v>
      </x:c>
      <x:c r="T23" s="181" t="str">
        <x:v>Program v3 purchase-intelligence rules + user-declared gaps</x:v>
      </x:c>
      <x:c r="U23" s="181" t="str">
        <x:v>https://www.iff.com/scent/ingredients-compendium/liffarome/</x:v>
      </x:c>
      <x:c r="V23" s="181" t="str">
        <x:v>Ranking is an architectural and sensory-leverage hypothesis. It does not establish beauty, broad appeal, target identity, safety or stability.</x:v>
      </x:c>
    </x:row>
    <x:row r="24">
      <x:c r="A24" s="181" t="n">
        <x:v>23</x:v>
      </x:c>
      <x:c r="B24" s="181" t="str">
        <x:v>ARCHITECTURAL EXPANSION</x:v>
      </x:c>
      <x:c r="C24" s="181" t="n">
        <x:v>9</x:v>
      </x:c>
      <x:c r="D24" s="181" t="str">
        <x:v>P1</x:v>
      </x:c>
      <x:c r="E24" s="181" t="str">
        <x:v>cis-3-Hexenyl Salicylate</x:v>
      </x:c>
      <x:c r="F24" s="181" t="str">
        <x:v>NOT IN V5 CURRENT INVENTORY</x:v>
      </x:c>
      <x:c r="G24" s="181" t="str">
        <x:v>SAMPLE / ACQUIRE</x:v>
      </x:c>
      <x:c r="H24" s="181" t="str">
        <x:v>HIGH_VALUE ARCHITECTURAL EXPANSION</x:v>
      </x:c>
      <x:c r="I24" s="181" t="n">
        <x:v>0</x:v>
      </x:c>
      <x:c r="J24" s="181" t="n">
        <x:v>0</x:v>
      </x:c>
      <x:c r="K24" s="181" t="str">
        <x:v>HIGH</x:v>
      </x:c>
      <x:c r="L24" s="181" t="str">
        <x:v>HIGH</x:v>
      </x:c>
      <x:c r="M24" s="181" t="str">
        <x:v>HIGH</x:v>
      </x:c>
      <x:c r="N24" s="181" t="str">
        <x:v>Persistent green-floral bridge that carries cut leaf into the heart without relying only on Leafovert.</x:v>
      </x:c>
      <x:c r="O24" s="181" t="str">
        <x:v>Leaf floral; muguet; rose; violet; green fruit</x:v>
      </x:c>
      <x:c r="P24" s="181" t="str">
        <x:v>Decide whether cis-3-Hexenyl Salicylate opens a non-redundant, physically preferred accord branch versus current stock.</x:v>
      </x:c>
      <x:c r="Q24" s="181" t="str">
        <x:v>SUPPLIER / EXACT STOCK REQUIRED</x:v>
      </x:c>
      <x:c r="R24" s="181" t="str">
        <x:v>CURRENT QUOTE REQUIRED</x:v>
      </x:c>
      <x:c r="S24" s="181" t="str">
        <x:v>NOT TESTED</x:v>
      </x:c>
      <x:c r="T24" s="181" t="str">
        <x:v>Program v3 purchase-intelligence rules + user-declared gaps</x:v>
      </x:c>
      <x:c r="U24" s="181" t="str">
        <x:v>https://www.perfumersworld.com/document-list.php?pro_id=6FG07793&amp;tab=allergen</x:v>
      </x:c>
      <x:c r="V24" s="181" t="str">
        <x:v>Ranking is an architectural and sensory-leverage hypothesis. It does not establish beauty, broad appeal, target identity, safety or stability.</x:v>
      </x:c>
    </x:row>
    <x:row r="25">
      <x:c r="A25" s="181" t="n">
        <x:v>24</x:v>
      </x:c>
      <x:c r="B25" s="181" t="str">
        <x:v>ARCHITECTURAL EXPANSION</x:v>
      </x:c>
      <x:c r="C25" s="181" t="n">
        <x:v>10</x:v>
      </x:c>
      <x:c r="D25" s="181" t="str">
        <x:v>P1</x:v>
      </x:c>
      <x:c r="E25" s="181" t="str">
        <x:v>Orange Flower Absolute 10% in DPG</x:v>
      </x:c>
      <x:c r="F25" s="181" t="str">
        <x:v>NOT IN V5 CURRENT INVENTORY</x:v>
      </x:c>
      <x:c r="G25" s="181" t="str">
        <x:v>SAMPLE FIRST</x:v>
      </x:c>
      <x:c r="H25" s="181" t="str">
        <x:v>HIGH_VALUE ARCHITECTURAL EXPANSION</x:v>
      </x:c>
      <x:c r="I25" s="181" t="n">
        <x:v>0</x:v>
      </x:c>
      <x:c r="J25" s="181" t="n">
        <x:v>0</x:v>
      </x:c>
      <x:c r="K25" s="181" t="str">
        <x:v>HIGH</x:v>
      </x:c>
      <x:c r="L25" s="181" t="str">
        <x:v>MEDIUM</x:v>
      </x:c>
      <x:c r="M25" s="181" t="str">
        <x:v>HIGH</x:v>
      </x:c>
      <x:c r="N25" s="181" t="str">
        <x:v>Dark honeyed, waxy, leafy and indolic orange-blossom texture not supplied by neroli alone.</x:v>
      </x:c>
      <x:c r="O25" s="181" t="str">
        <x:v>Orange blossom; floral amber; chypre; honeyed white floral</x:v>
      </x:c>
      <x:c r="P25" s="181" t="str">
        <x:v>Decide whether Orange Flower Absolute 10% in DPG opens a non-redundant, physically preferred accord branch versus current stock.</x:v>
      </x:c>
      <x:c r="Q25" s="181" t="str">
        <x:v>SUPPLIER / EXACT STOCK REQUIRED</x:v>
      </x:c>
      <x:c r="R25" s="181" t="str">
        <x:v>CURRENT QUOTE REQUIRED</x:v>
      </x:c>
      <x:c r="S25" s="181" t="str">
        <x:v>NOT TESTED</x:v>
      </x:c>
      <x:c r="T25" s="181" t="str">
        <x:v>Program v3 purchase-intelligence rules + user-declared gaps</x:v>
      </x:c>
      <x:c r="U25" s="181" t="str"/>
      <x:c r="V25" s="181" t="str">
        <x:v>Ranking is an architectural and sensory-leverage hypothesis. It does not establish beauty, broad appeal, target identity, safety or stability.</x:v>
      </x:c>
    </x:row>
    <x:row r="26">
      <x:c r="A26" s="181" t="n">
        <x:v>25</x:v>
      </x:c>
      <x:c r="B26" s="181" t="str">
        <x:v>ARCHITECTURAL EXPANSION</x:v>
      </x:c>
      <x:c r="C26" s="181" t="n">
        <x:v>11</x:v>
      </x:c>
      <x:c r="D26" s="181" t="str">
        <x:v>P2</x:v>
      </x:c>
      <x:c r="E26" s="181" t="str">
        <x:v>Dihydro Alpha Ionone</x:v>
      </x:c>
      <x:c r="F26" s="181" t="str">
        <x:v>NOT IN V5 CURRENT INVENTORY</x:v>
      </x:c>
      <x:c r="G26" s="181" t="str">
        <x:v>SAMPLE / ACQUIRE</x:v>
      </x:c>
      <x:c r="H26" s="181" t="str">
        <x:v>USEFUL SPECIALIST</x:v>
      </x:c>
      <x:c r="I26" s="181" t="n">
        <x:v>0</x:v>
      </x:c>
      <x:c r="J26" s="181" t="n">
        <x:v>0</x:v>
      </x:c>
      <x:c r="K26" s="181" t="str">
        <x:v>HIGH</x:v>
      </x:c>
      <x:c r="L26" s="181" t="str">
        <x:v>MEDIUM</x:v>
      </x:c>
      <x:c r="M26" s="181" t="str">
        <x:v>HIGH</x:v>
      </x:c>
      <x:c r="N26" s="181" t="str">
        <x:v>Dry woody iris-violet nuance and a new contrast against the current alpha/beta/dihydro-beta ionone set.</x:v>
      </x:c>
      <x:c r="O26" s="181" t="str">
        <x:v>Iris; violet; woody floral; suede</x:v>
      </x:c>
      <x:c r="P26" s="181" t="str">
        <x:v>Decide whether Dihydro Alpha Ionone opens a non-redundant, physically preferred accord branch versus current stock.</x:v>
      </x:c>
      <x:c r="Q26" s="181" t="str">
        <x:v>SUPPLIER / EXACT STOCK REQUIRED</x:v>
      </x:c>
      <x:c r="R26" s="181" t="str">
        <x:v>CURRENT QUOTE REQUIRED</x:v>
      </x:c>
      <x:c r="S26" s="181" t="str">
        <x:v>NOT TESTED</x:v>
      </x:c>
      <x:c r="T26" s="181" t="str">
        <x:v>Program v3 purchase-intelligence rules + user-declared gaps</x:v>
      </x:c>
      <x:c r="U26" s="181" t="str"/>
      <x:c r="V26" s="181" t="str">
        <x:v>Ranking is an architectural and sensory-leverage hypothesis. It does not establish beauty, broad appeal, target identity, safety or stability.</x:v>
      </x:c>
    </x:row>
    <x:row r="27">
      <x:c r="A27" s="181" t="n">
        <x:v>26</x:v>
      </x:c>
      <x:c r="B27" s="181" t="str">
        <x:v>ARCHITECTURAL EXPANSION</x:v>
      </x:c>
      <x:c r="C27" s="181" t="n">
        <x:v>12</x:v>
      </x:c>
      <x:c r="D27" s="181" t="str">
        <x:v>P2</x:v>
      </x:c>
      <x:c r="E27" s="181" t="str">
        <x:v>Geranyl Acetate</x:v>
      </x:c>
      <x:c r="F27" s="181" t="str">
        <x:v>NOT IN V5 CURRENT INVENTORY</x:v>
      </x:c>
      <x:c r="G27" s="181" t="str">
        <x:v>SAMPLE / ACQUIRE</x:v>
      </x:c>
      <x:c r="H27" s="181" t="str">
        <x:v>HIGH_VALUE ARCHITECTURAL EXPANSION</x:v>
      </x:c>
      <x:c r="I27" s="181" t="n">
        <x:v>0</x:v>
      </x:c>
      <x:c r="J27" s="181" t="n">
        <x:v>0</x:v>
      </x:c>
      <x:c r="K27" s="181" t="str">
        <x:v>HIGH</x:v>
      </x:c>
      <x:c r="L27" s="181" t="str">
        <x:v>HIGH</x:v>
      </x:c>
      <x:c r="M27" s="181" t="str">
        <x:v>MODERATE</x:v>
      </x:c>
      <x:c r="N27" s="181" t="str">
        <x:v>Fresh rosy-fruity floral lift and naturalistic petal motion.</x:v>
      </x:c>
      <x:c r="O27" s="181" t="str">
        <x:v>Rose; geranium; muguet; citrus floral; fruity floral</x:v>
      </x:c>
      <x:c r="P27" s="181" t="str">
        <x:v>Decide whether Geranyl Acetate opens a non-redundant, physically preferred accord branch versus current stock.</x:v>
      </x:c>
      <x:c r="Q27" s="181" t="str">
        <x:v>SUPPLIER / EXACT STOCK REQUIRED</x:v>
      </x:c>
      <x:c r="R27" s="181" t="str">
        <x:v>CURRENT QUOTE REQUIRED</x:v>
      </x:c>
      <x:c r="S27" s="181" t="str">
        <x:v>NOT TESTED</x:v>
      </x:c>
      <x:c r="T27" s="181" t="str">
        <x:v>Program v3 purchase-intelligence rules + user-declared gaps</x:v>
      </x:c>
      <x:c r="U27" s="181" t="str">
        <x:v>https://www.perfumersworld.com/sitemap.php</x:v>
      </x:c>
      <x:c r="V27" s="181" t="str">
        <x:v>Ranking is an architectural and sensory-leverage hypothesis. It does not establish beauty, broad appeal, target identity, safety or stability.</x:v>
      </x:c>
    </x:row>
    <x:row r="28">
      <x:c r="A28" s="181" t="n">
        <x:v>27</x:v>
      </x:c>
      <x:c r="B28" s="181" t="str">
        <x:v>ARCHITECTURAL EXPANSION</x:v>
      </x:c>
      <x:c r="C28" s="181" t="n">
        <x:v>13</x:v>
      </x:c>
      <x:c r="D28" s="181" t="str">
        <x:v>P2</x:v>
      </x:c>
      <x:c r="E28" s="181" t="str">
        <x:v>Neryl Acetate</x:v>
      </x:c>
      <x:c r="F28" s="181" t="str">
        <x:v>NOT IN V5 CURRENT INVENTORY</x:v>
      </x:c>
      <x:c r="G28" s="181" t="str">
        <x:v>SAMPLE / ACQUIRE</x:v>
      </x:c>
      <x:c r="H28" s="181" t="str">
        <x:v>USEFUL SPECIALIST</x:v>
      </x:c>
      <x:c r="I28" s="181" t="n">
        <x:v>0</x:v>
      </x:c>
      <x:c r="J28" s="181" t="n">
        <x:v>0</x:v>
      </x:c>
      <x:c r="K28" s="181" t="str">
        <x:v>HIGH</x:v>
      </x:c>
      <x:c r="L28" s="181" t="str">
        <x:v>MEDIUM</x:v>
      </x:c>
      <x:c r="M28" s="181" t="str">
        <x:v>MODERATE</x:v>
      </x:c>
      <x:c r="N28" s="181" t="str">
        <x:v>Softer floral-citrus fruitiness for rose, neroli and white-floral transitions.</x:v>
      </x:c>
      <x:c r="O28" s="181" t="str">
        <x:v>Neroli; rose; citrus floral; muguet</x:v>
      </x:c>
      <x:c r="P28" s="181" t="str">
        <x:v>Decide whether Neryl Acetate opens a non-redundant, physically preferred accord branch versus current stock.</x:v>
      </x:c>
      <x:c r="Q28" s="181" t="str">
        <x:v>SUPPLIER / EXACT STOCK REQUIRED</x:v>
      </x:c>
      <x:c r="R28" s="181" t="str">
        <x:v>CURRENT QUOTE REQUIRED</x:v>
      </x:c>
      <x:c r="S28" s="181" t="str">
        <x:v>NOT TESTED</x:v>
      </x:c>
      <x:c r="T28" s="181" t="str">
        <x:v>Program v3 purchase-intelligence rules + user-declared gaps</x:v>
      </x:c>
      <x:c r="U28" s="181" t="str">
        <x:v>https://www.iff.com/sitemap/</x:v>
      </x:c>
      <x:c r="V28" s="181" t="str">
        <x:v>Ranking is an architectural and sensory-leverage hypothesis. It does not establish beauty, broad appeal, target identity, safety or stability.</x:v>
      </x:c>
    </x:row>
    <x:row r="29">
      <x:c r="A29" s="181" t="n">
        <x:v>28</x:v>
      </x:c>
      <x:c r="B29" s="181" t="str">
        <x:v>ARCHITECTURAL EXPANSION</x:v>
      </x:c>
      <x:c r="C29" s="181" t="n">
        <x:v>14</x:v>
      </x:c>
      <x:c r="D29" s="181" t="str">
        <x:v>P2</x:v>
      </x:c>
      <x:c r="E29" s="181" t="str">
        <x:v>Citronellyl Acetate</x:v>
      </x:c>
      <x:c r="F29" s="181" t="str">
        <x:v>NOT IN V5 CURRENT INVENTORY</x:v>
      </x:c>
      <x:c r="G29" s="181" t="str">
        <x:v>SAMPLE / ACQUIRE</x:v>
      </x:c>
      <x:c r="H29" s="181" t="str">
        <x:v>USEFUL SPECIALIST</x:v>
      </x:c>
      <x:c r="I29" s="181" t="n">
        <x:v>0</x:v>
      </x:c>
      <x:c r="J29" s="181" t="n">
        <x:v>0</x:v>
      </x:c>
      <x:c r="K29" s="181" t="str">
        <x:v>MEDIUM</x:v>
      </x:c>
      <x:c r="L29" s="181" t="str">
        <x:v>MEDIUM</x:v>
      </x:c>
      <x:c r="M29" s="181" t="str">
        <x:v>MODERATE</x:v>
      </x:c>
      <x:c r="N29" s="181" t="str">
        <x:v>Rosy citrus-floral bridge that broadens the current citronellol/citronellal axis.</x:v>
      </x:c>
      <x:c r="O29" s="181" t="str">
        <x:v>Rose; geranium; citrus floral; soap floral</x:v>
      </x:c>
      <x:c r="P29" s="181" t="str">
        <x:v>Decide whether Citronellyl Acetate opens a non-redundant, physically preferred accord branch versus current stock.</x:v>
      </x:c>
      <x:c r="Q29" s="181" t="str">
        <x:v>SUPPLIER / EXACT STOCK REQUIRED</x:v>
      </x:c>
      <x:c r="R29" s="181" t="str">
        <x:v>CURRENT QUOTE REQUIRED</x:v>
      </x:c>
      <x:c r="S29" s="181" t="str">
        <x:v>NOT TESTED</x:v>
      </x:c>
      <x:c r="T29" s="181" t="str">
        <x:v>Program v3 purchase-intelligence rules + user-declared gaps</x:v>
      </x:c>
      <x:c r="U29" s="181" t="str">
        <x:v>https://www.perfumersworld.com/sitemap.php</x:v>
      </x:c>
      <x:c r="V29" s="181" t="str">
        <x:v>Ranking is an architectural and sensory-leverage hypothesis. It does not establish beauty, broad appeal, target identity, safety or stability.</x:v>
      </x:c>
    </x:row>
    <x:row r="30">
      <x:c r="A30" s="181" t="n">
        <x:v>29</x:v>
      </x:c>
      <x:c r="B30" s="181" t="str">
        <x:v>ARCHITECTURAL EXPANSION</x:v>
      </x:c>
      <x:c r="C30" s="181" t="n">
        <x:v>15</x:v>
      </x:c>
      <x:c r="D30" s="181" t="str">
        <x:v>P2</x:v>
      </x:c>
      <x:c r="E30" s="181" t="str">
        <x:v>Caryophyllene Acetate</x:v>
      </x:c>
      <x:c r="F30" s="181" t="str">
        <x:v>NOT IN V5 CURRENT INVENTORY</x:v>
      </x:c>
      <x:c r="G30" s="181" t="str">
        <x:v>SAMPLE / ACQUIRE</x:v>
      </x:c>
      <x:c r="H30" s="181" t="str">
        <x:v>USEFUL SPECIALIST</x:v>
      </x:c>
      <x:c r="I30" s="181" t="n">
        <x:v>0</x:v>
      </x:c>
      <x:c r="J30" s="181" t="n">
        <x:v>0</x:v>
      </x:c>
      <x:c r="K30" s="181" t="str">
        <x:v>MEDIUM</x:v>
      </x:c>
      <x:c r="L30" s="181" t="str">
        <x:v>MEDIUM</x:v>
      </x:c>
      <x:c r="M30" s="181" t="str">
        <x:v>HIGH</x:v>
      </x:c>
      <x:c r="N30" s="181" t="str">
        <x:v>Dry spicy-woody floral bridge for clove, carnation, woods and incense.</x:v>
      </x:c>
      <x:c r="O30" s="181" t="str">
        <x:v>Spice floral; carnation; tobacco; woods; incense</x:v>
      </x:c>
      <x:c r="P30" s="181" t="str">
        <x:v>Decide whether Caryophyllene Acetate opens a non-redundant, physically preferred accord branch versus current stock.</x:v>
      </x:c>
      <x:c r="Q30" s="181" t="str">
        <x:v>SUPPLIER / EXACT STOCK REQUIRED</x:v>
      </x:c>
      <x:c r="R30" s="181" t="str">
        <x:v>CURRENT QUOTE REQUIRED</x:v>
      </x:c>
      <x:c r="S30" s="181" t="str">
        <x:v>NOT TESTED</x:v>
      </x:c>
      <x:c r="T30" s="181" t="str">
        <x:v>Program v3 purchase-intelligence rules + user-declared gaps</x:v>
      </x:c>
      <x:c r="U30" s="181" t="str">
        <x:v>https://www.perfumersworld.com/sitemap.php</x:v>
      </x:c>
      <x:c r="V30" s="181" t="str">
        <x:v>Ranking is an architectural and sensory-leverage hypothesis. It does not establish beauty, broad appeal, target identity, safety or stability.</x:v>
      </x:c>
    </x:row>
    <x:row r="31">
      <x:c r="A31" s="181" t="n">
        <x:v>30</x:v>
      </x:c>
      <x:c r="B31" s="181" t="str">
        <x:v>ARCHITECTURAL EXPANSION</x:v>
      </x:c>
      <x:c r="C31" s="181" t="n">
        <x:v>16</x:v>
      </x:c>
      <x:c r="D31" s="181" t="str">
        <x:v>P2</x:v>
      </x:c>
      <x:c r="E31" s="181" t="str">
        <x:v>Ethyl Butyrate</x:v>
      </x:c>
      <x:c r="F31" s="181" t="str">
        <x:v>NOT IN V5 CURRENT INVENTORY</x:v>
      </x:c>
      <x:c r="G31" s="181" t="str">
        <x:v>SMALL SAMPLE + 1% STOCK</x:v>
      </x:c>
      <x:c r="H31" s="181" t="str">
        <x:v>USEFUL SPECIALIST</x:v>
      </x:c>
      <x:c r="I31" s="181" t="n">
        <x:v>0</x:v>
      </x:c>
      <x:c r="J31" s="181" t="n">
        <x:v>0</x:v>
      </x:c>
      <x:c r="K31" s="181" t="str">
        <x:v>HIGH</x:v>
      </x:c>
      <x:c r="L31" s="181" t="str">
        <x:v>MEDIUM</x:v>
      </x:c>
      <x:c r="M31" s="181" t="str">
        <x:v>HIGH</x:v>
      </x:c>
      <x:c r="N31" s="181" t="str">
        <x:v>Explosive juicy pineapple-orange top used as a building block rather than a complete fruit note.</x:v>
      </x:c>
      <x:c r="O31" s="181" t="str">
        <x:v>Tropical fruit; citrus fruit; rum; berry lift</x:v>
      </x:c>
      <x:c r="P31" s="181" t="str">
        <x:v>Decide whether Ethyl Butyrate opens a non-redundant, physically preferred accord branch versus current stock.</x:v>
      </x:c>
      <x:c r="Q31" s="181" t="str">
        <x:v>SUPPLIER / EXACT STOCK REQUIRED</x:v>
      </x:c>
      <x:c r="R31" s="181" t="str">
        <x:v>CURRENT QUOTE REQUIRED</x:v>
      </x:c>
      <x:c r="S31" s="181" t="str">
        <x:v>NOT TESTED</x:v>
      </x:c>
      <x:c r="T31" s="181" t="str">
        <x:v>Program v3 purchase-intelligence rules + user-declared gaps</x:v>
      </x:c>
      <x:c r="U31" s="181" t="str">
        <x:v>https://www.perfumersworld.com/sitemap.php</x:v>
      </x:c>
      <x:c r="V31" s="181" t="str">
        <x:v>Ranking is an architectural and sensory-leverage hypothesis. It does not establish beauty, broad appeal, target identity, safety or stability.</x:v>
      </x:c>
    </x:row>
    <x:row r="32">
      <x:c r="A32" s="181" t="n">
        <x:v>31</x:v>
      </x:c>
      <x:c r="B32" s="181" t="str">
        <x:v>ARCHITECTURAL EXPANSION</x:v>
      </x:c>
      <x:c r="C32" s="181" t="n">
        <x:v>17</x:v>
      </x:c>
      <x:c r="D32" s="181" t="str">
        <x:v>P2</x:v>
      </x:c>
      <x:c r="E32" s="181" t="str">
        <x:v>Isoamyl Acetate</x:v>
      </x:c>
      <x:c r="F32" s="181" t="str">
        <x:v>NOT IN V5 CURRENT INVENTORY</x:v>
      </x:c>
      <x:c r="G32" s="181" t="str">
        <x:v>SMALL SAMPLE + 1% STOCK</x:v>
      </x:c>
      <x:c r="H32" s="181" t="str">
        <x:v>USEFUL SPECIALIST</x:v>
      </x:c>
      <x:c r="I32" s="181" t="n">
        <x:v>0</x:v>
      </x:c>
      <x:c r="J32" s="181" t="n">
        <x:v>0</x:v>
      </x:c>
      <x:c r="K32" s="181" t="str">
        <x:v>MEDIUM</x:v>
      </x:c>
      <x:c r="L32" s="181" t="str">
        <x:v>MEDIUM</x:v>
      </x:c>
      <x:c r="M32" s="181" t="str">
        <x:v>HIGH</x:v>
      </x:c>
      <x:c r="N32" s="181" t="str">
        <x:v>Banana/pear fruit body and creamy-fruity modifier at controlled trace levels.</x:v>
      </x:c>
      <x:c r="O32" s="181" t="str">
        <x:v>Banana; pear; tropical; white floral fruit</x:v>
      </x:c>
      <x:c r="P32" s="181" t="str">
        <x:v>Decide whether Isoamyl Acetate opens a non-redundant, physically preferred accord branch versus current stock.</x:v>
      </x:c>
      <x:c r="Q32" s="181" t="str">
        <x:v>SUPPLIER / EXACT STOCK REQUIRED</x:v>
      </x:c>
      <x:c r="R32" s="181" t="str">
        <x:v>CURRENT QUOTE REQUIRED</x:v>
      </x:c>
      <x:c r="S32" s="181" t="str">
        <x:v>NOT TESTED</x:v>
      </x:c>
      <x:c r="T32" s="181" t="str">
        <x:v>Program v3 purchase-intelligence rules + user-declared gaps</x:v>
      </x:c>
      <x:c r="U32" s="181" t="str">
        <x:v>https://www.perfumersworld.com/sitemap.php</x:v>
      </x:c>
      <x:c r="V32" s="181" t="str">
        <x:v>Ranking is an architectural and sensory-leverage hypothesis. It does not establish beauty, broad appeal, target identity, safety or stability.</x:v>
      </x:c>
    </x:row>
    <x:row r="33">
      <x:c r="A33" s="181" t="n">
        <x:v>32</x:v>
      </x:c>
      <x:c r="B33" s="181" t="str">
        <x:v>ARCHITECTURAL EXPANSION</x:v>
      </x:c>
      <x:c r="C33" s="181" t="n">
        <x:v>18</x:v>
      </x:c>
      <x:c r="D33" s="181" t="str">
        <x:v>P2</x:v>
      </x:c>
      <x:c r="E33" s="181" t="str">
        <x:v>Ethyl Acetate</x:v>
      </x:c>
      <x:c r="F33" s="181" t="str">
        <x:v>NOT IN V5 CURRENT INVENTORY</x:v>
      </x:c>
      <x:c r="G33" s="181" t="str">
        <x:v>SMALL SAMPLE + CONTROLLED STORAGE</x:v>
      </x:c>
      <x:c r="H33" s="181" t="str">
        <x:v>USEFUL SPECIALIST</x:v>
      </x:c>
      <x:c r="I33" s="181" t="n">
        <x:v>0</x:v>
      </x:c>
      <x:c r="J33" s="181" t="n">
        <x:v>0</x:v>
      </x:c>
      <x:c r="K33" s="181" t="str">
        <x:v>MEDIUM</x:v>
      </x:c>
      <x:c r="L33" s="181" t="str">
        <x:v>MEDIUM</x:v>
      </x:c>
      <x:c r="M33" s="181" t="str">
        <x:v>HIGH</x:v>
      </x:c>
      <x:c r="N33" s="181" t="str">
        <x:v>Very volatile fruity-solventy sparkle and rum/fruit lift; easy to overdose or evaporate.</x:v>
      </x:c>
      <x:c r="O33" s="181" t="str">
        <x:v>Rum; cognac; fruit top; diffusion studies</x:v>
      </x:c>
      <x:c r="P33" s="181" t="str">
        <x:v>Decide whether Ethyl Acetate opens a non-redundant, physically preferred accord branch versus current stock.</x:v>
      </x:c>
      <x:c r="Q33" s="181" t="str">
        <x:v>SUPPLIER / EXACT STOCK REQUIRED</x:v>
      </x:c>
      <x:c r="R33" s="181" t="str">
        <x:v>CURRENT QUOTE REQUIRED</x:v>
      </x:c>
      <x:c r="S33" s="181" t="str">
        <x:v>NOT TESTED</x:v>
      </x:c>
      <x:c r="T33" s="181" t="str">
        <x:v>Program v3 purchase-intelligence rules + user-declared gaps</x:v>
      </x:c>
      <x:c r="U33" s="181" t="str">
        <x:v>https://www.perfumersworld.com/sitemap.php</x:v>
      </x:c>
      <x:c r="V33" s="181" t="str">
        <x:v>Ranking is an architectural and sensory-leverage hypothesis. It does not establish beauty, broad appeal, target identity, safety or stability.</x:v>
      </x:c>
    </x:row>
    <x:row r="34">
      <x:c r="A34" s="181" t="n">
        <x:v>33</x:v>
      </x:c>
      <x:c r="B34" s="181" t="str">
        <x:v>ARCHITECTURAL EXPANSION</x:v>
      </x:c>
      <x:c r="C34" s="181" t="n">
        <x:v>19</x:v>
      </x:c>
      <x:c r="D34" s="181" t="str">
        <x:v>P2</x:v>
      </x:c>
      <x:c r="E34" s="181" t="str">
        <x:v>Butyl Butyrate</x:v>
      </x:c>
      <x:c r="F34" s="181" t="str">
        <x:v>NOT IN V5 CURRENT INVENTORY</x:v>
      </x:c>
      <x:c r="G34" s="181" t="str">
        <x:v>SMALL SAMPLE + 1% STOCK</x:v>
      </x:c>
      <x:c r="H34" s="181" t="str">
        <x:v>USEFUL SPECIALIST</x:v>
      </x:c>
      <x:c r="I34" s="181" t="n">
        <x:v>0</x:v>
      </x:c>
      <x:c r="J34" s="181" t="n">
        <x:v>0</x:v>
      </x:c>
      <x:c r="K34" s="181" t="str">
        <x:v>MEDIUM</x:v>
      </x:c>
      <x:c r="L34" s="181" t="str">
        <x:v>LOW</x:v>
      </x:c>
      <x:c r="M34" s="181" t="str">
        <x:v>HIGH</x:v>
      </x:c>
      <x:c r="N34" s="181" t="str">
        <x:v>Juicy pineapple-fruit body that broadens the missing classical ester set.</x:v>
      </x:c>
      <x:c r="O34" s="181" t="str">
        <x:v>Pineapple; tropical; fruit floral</x:v>
      </x:c>
      <x:c r="P34" s="181" t="str">
        <x:v>Decide whether Butyl Butyrate opens a non-redundant, physically preferred accord branch versus current stock.</x:v>
      </x:c>
      <x:c r="Q34" s="181" t="str">
        <x:v>SUPPLIER / EXACT STOCK REQUIRED</x:v>
      </x:c>
      <x:c r="R34" s="181" t="str">
        <x:v>CURRENT QUOTE REQUIRED</x:v>
      </x:c>
      <x:c r="S34" s="181" t="str">
        <x:v>NOT TESTED</x:v>
      </x:c>
      <x:c r="T34" s="181" t="str">
        <x:v>Program v3 purchase-intelligence rules + user-declared gaps</x:v>
      </x:c>
      <x:c r="U34" s="181" t="str">
        <x:v>https://www.perfumersworld.com/sitemap.php</x:v>
      </x:c>
      <x:c r="V34" s="181" t="str">
        <x:v>Ranking is an architectural and sensory-leverage hypothesis. It does not establish beauty, broad appeal, target identity, safety or stability.</x:v>
      </x:c>
    </x:row>
    <x:row r="35">
      <x:c r="A35" s="181" t="n">
        <x:v>34</x:v>
      </x:c>
      <x:c r="B35" s="181" t="str">
        <x:v>ARCHITECTURAL EXPANSION</x:v>
      </x:c>
      <x:c r="C35" s="181" t="n">
        <x:v>20</x:v>
      </x:c>
      <x:c r="D35" s="181" t="str">
        <x:v>P2</x:v>
      </x:c>
      <x:c r="E35" s="181" t="str">
        <x:v>Ethyl Acetoacetate</x:v>
      </x:c>
      <x:c r="F35" s="181" t="str">
        <x:v>NOT IN V5 CURRENT INVENTORY</x:v>
      </x:c>
      <x:c r="G35" s="181" t="str">
        <x:v>SMALL SAMPLE</x:v>
      </x:c>
      <x:c r="H35" s="181" t="str">
        <x:v>USEFUL SPECIALIST</x:v>
      </x:c>
      <x:c r="I35" s="181" t="n">
        <x:v>0</x:v>
      </x:c>
      <x:c r="J35" s="181" t="n">
        <x:v>0</x:v>
      </x:c>
      <x:c r="K35" s="181" t="str">
        <x:v>MEDIUM</x:v>
      </x:c>
      <x:c r="L35" s="181" t="str">
        <x:v>LOW</x:v>
      </x:c>
      <x:c r="M35" s="181" t="str">
        <x:v>MEDIUM</x:v>
      </x:c>
      <x:c r="N35" s="181" t="str">
        <x:v>Fruity, wine-like and rum-supporting bridge for reconstructed fruit and beverage accords.</x:v>
      </x:c>
      <x:c r="O35" s="181" t="str">
        <x:v>Rum; wine; berry; fruit modifier</x:v>
      </x:c>
      <x:c r="P35" s="181" t="str">
        <x:v>Decide whether Ethyl Acetoacetate opens a non-redundant, physically preferred accord branch versus current stock.</x:v>
      </x:c>
      <x:c r="Q35" s="181" t="str">
        <x:v>SUPPLIER / EXACT STOCK REQUIRED</x:v>
      </x:c>
      <x:c r="R35" s="181" t="str">
        <x:v>CURRENT QUOTE REQUIRED</x:v>
      </x:c>
      <x:c r="S35" s="181" t="str">
        <x:v>NOT TESTED</x:v>
      </x:c>
      <x:c r="T35" s="181" t="str">
        <x:v>Program v3 purchase-intelligence rules + user-declared gaps</x:v>
      </x:c>
      <x:c r="U35" s="181" t="str">
        <x:v>https://www.perfumersworld.com/sitemap.php</x:v>
      </x:c>
      <x:c r="V35" s="181" t="str">
        <x:v>Ranking is an architectural and sensory-leverage hypothesis. It does not establish beauty, broad appeal, target identity, safety or stability.</x:v>
      </x:c>
    </x:row>
    <x:row r="36">
      <x:c r="A36" s="182" t="n">
        <x:v>35</x:v>
      </x:c>
      <x:c r="B36" s="182" t="str">
        <x:v>ARCHITECTURAL EXPANSION</x:v>
      </x:c>
      <x:c r="C36" s="182" t="n">
        <x:v>21</x:v>
      </x:c>
      <x:c r="D36" s="182" t="str">
        <x:v>P2</x:v>
      </x:c>
      <x:c r="E36" s="182" t="str">
        <x:v>Neobutenone Alpha</x:v>
      </x:c>
      <x:c r="F36" s="182" t="str">
        <x:v>NOT IN V5 CURRENT INVENTORY</x:v>
      </x:c>
      <x:c r="G36" s="182" t="str">
        <x:v>SUPPLIER LOCK + TINY SAMPLE</x:v>
      </x:c>
      <x:c r="H36" s="182" t="str">
        <x:v>USEFUL SPECIALIST</x:v>
      </x:c>
      <x:c r="I36" s="182" t="n">
        <x:v>0</x:v>
      </x:c>
      <x:c r="J36" s="182" t="n">
        <x:v>0</x:v>
      </x:c>
      <x:c r="K36" s="182" t="str">
        <x:v>HIGH</x:v>
      </x:c>
      <x:c r="L36" s="182" t="str">
        <x:v>LOW</x:v>
      </x:c>
      <x:c r="M36" s="182" t="str">
        <x:v>CRITICAL</x:v>
      </x:c>
      <x:c r="N36" s="182" t="str">
        <x:v>High-impact green-fruity trace modifier for modern top-note complexity.</x:v>
      </x:c>
      <x:c r="O36" s="182" t="str">
        <x:v>Green fruit; cassis; tropical; floral top</x:v>
      </x:c>
      <x:c r="P36" s="182" t="str">
        <x:v>Decide whether Neobutenone Alpha opens a non-redundant, physically preferred accord branch versus current stock.</x:v>
      </x:c>
      <x:c r="Q36" s="182" t="str">
        <x:v>SUPPLIER / EXACT STOCK REQUIRED</x:v>
      </x:c>
      <x:c r="R36" s="182" t="str">
        <x:v>CURRENT QUOTE REQUIRED</x:v>
      </x:c>
      <x:c r="S36" s="182" t="str">
        <x:v>NOT TESTED</x:v>
      </x:c>
      <x:c r="T36" s="182" t="str">
        <x:v>Program v3 purchase-intelligence rules + user-declared gaps</x:v>
      </x:c>
      <x:c r="U36" s="182" t="str"/>
      <x:c r="V36" s="182" t="str">
        <x:v>Ranking is an architectural and sensory-leverage hypothesis. It does not establish beauty, broad appeal, target identity, safety or stability.</x:v>
      </x:c>
    </x:row>
  </x:sheetData>
  <x:conditionalFormatting sqref="D2:D36">
    <x:cfRule type="expression" dxfId="35" priority="1">
      <x:formula>LEFT(D2,2)="P0"</x:formula>
    </x:cfRule>
    <x:cfRule type="expression" dxfId="36" priority="2">
      <x:formula>D2="P1"</x:formula>
    </x:cfRule>
  </x:conditionalFormatting>
  <x:conditionalFormatting sqref="I2:I36">
    <x:cfRule type="dataBar" priority="3">
      <x:dataBar>
        <x:cfvo type="min"/>
        <x:cfvo type="max"/>
        <x:color rgb="FFA02B93"/>
      </x:dataBar>
      <x:extLst>
        <x:ext xmlns:x14="http://schemas.microsoft.com/office/spreadsheetml/2009/9/main" uri="{B025F937-C7B1-47D3-B67F-A62EFF666E3E}">
          <x14:id>{4EE9FE54-7C36-B0A7-F91E-ADD9424E31F3}</x14:id>
        </x:ext>
      </x:extLst>
    </x:cfRule>
  </x:conditionalFormatting>
  <x:conditionalFormatting sqref="G2:G36">
    <x:cfRule type="expression" dxfId="37" priority="4">
      <x:formula>ISNUMBER(SEARCH("VERIFY",G2))</x:formula>
    </x:cfRule>
  </x:conditionalFormatting>
  <x:pageMargins left="0.7" right="0.7" top="0.75" bottom="0.75" header="0.3" footer="0.3"/>
  <x:tableParts count="1">
    <x:tablePart xmlns:r="http://schemas.openxmlformats.org/officeDocument/2006/relationships" r:id="R017c855913ed47aa"/>
  </x:tableParts>
  <x:extLst>
    <x:ext xmlns:x14="http://schemas.microsoft.com/office/spreadsheetml/2009/9/main" xmlns:xm="http://schemas.microsoft.com/office/excel/2006/main" uri="{78C0D931-6437-407d-A8EE-F0AAD7539E65}">
      <x14:conditionalFormattings>
        <x14:conditionalFormatting>
          <x14:cfRule type="dataBar" priority="3" id="{4EE9FE54-7C36-B0A7-F91E-ADD9424E31F3}">
            <x14:dataBar gradient="1">
              <x14:cfvo type="min"/>
              <x14:cfvo type="max"/>
              <x14:fillColor rgb="FFA02B93"/>
            </x14:dataBar>
          </x14:cfRule>
          <xm:sqref>I2:I36</xm:sqref>
        </x14:conditionalFormatting>
      </x14:conditionalFormattings>
    </x:ext>
  </x:extLst>
</x:worksheet>
</file>

<file path=xl/worksheets/sheet14.xml><?xml version="1.0" encoding="utf-8"?>
<x:worksheet xmlns:x="http://schemas.openxmlformats.org/spreadsheetml/2006/main">
  <x:sheetFormatPr defaultRowHeight="15"/>
  <x:cols>
    <x:col min="1" max="1" width="11" hidden="0" customWidth="1"/>
    <x:col min="2" max="2" width="23" hidden="0" customWidth="1"/>
    <x:col min="3" max="3" width="10" hidden="0" customWidth="1"/>
    <x:col min="4" max="4" width="14" hidden="0" customWidth="1"/>
    <x:col min="5" max="5" width="30" hidden="0" customWidth="1"/>
    <x:col min="6" max="6" width="30" hidden="0" customWidth="1"/>
    <x:col min="7" max="7" width="28" hidden="0" customWidth="1"/>
    <x:col min="8" max="8" width="31" hidden="0" customWidth="1"/>
    <x:col min="9" max="9" width="15" hidden="0" customWidth="1"/>
    <x:col min="10" max="10" width="13" hidden="0" customWidth="1"/>
    <x:col min="11" max="11" width="18" hidden="0" customWidth="1"/>
    <x:col min="12" max="12" width="17" hidden="0" customWidth="1"/>
    <x:col min="13" max="13" width="18" hidden="0" customWidth="1"/>
    <x:col min="14" max="14" width="42" hidden="0" customWidth="1"/>
    <x:col min="15" max="15" width="37" hidden="0" customWidth="1"/>
    <x:col min="16" max="16" width="42" hidden="0" customWidth="1"/>
    <x:col min="17" max="17" width="28" hidden="0" customWidth="1"/>
    <x:col min="18" max="18" width="23" hidden="0" customWidth="1"/>
    <x:col min="19" max="19" width="20" hidden="0" customWidth="1"/>
    <x:col min="20" max="20" width="34" hidden="0" customWidth="1"/>
    <x:col min="21" max="21" width="42" hidden="0" customWidth="1"/>
    <x:col min="22" max="22" width="48" hidden="0" customWidth="1"/>
  </x:cols>
  <x:sheetData>
    <x:row r="1" ht="34" customHeight="1">
      <x:c r="A1" s="179" t="str">
        <x:v>master_action_rank</x:v>
      </x:c>
      <x:c r="B1" s="179" t="str">
        <x:v>lane</x:v>
      </x:c>
      <x:c r="C1" s="179" t="str">
        <x:v>lane_rank</x:v>
      </x:c>
      <x:c r="D1" s="179" t="str">
        <x:v>priority_band</x:v>
      </x:c>
      <x:c r="E1" s="179" t="str">
        <x:v>material</x:v>
      </x:c>
      <x:c r="F1" s="179" t="str">
        <x:v>current_state</x:v>
      </x:c>
      <x:c r="G1" s="179" t="str">
        <x:v>recommended_action</x:v>
      </x:c>
      <x:c r="H1" s="179" t="str">
        <x:v>purchase_class</x:v>
      </x:c>
      <x:c r="I1" s="179" t="str">
        <x:v>current_formula_count</x:v>
      </x:c>
      <x:c r="J1" s="179" t="str">
        <x:v>current_row_uses</x:v>
      </x:c>
      <x:c r="K1" s="179" t="str">
        <x:v>hedonic_leverage_hypothesis</x:v>
      </x:c>
      <x:c r="L1" s="179" t="str">
        <x:v>architectural_reuse</x:v>
      </x:c>
      <x:c r="M1" s="179" t="str">
        <x:v>substitution_collapse_risk</x:v>
      </x:c>
      <x:c r="N1" s="179" t="str">
        <x:v>missing_functions_or_value</x:v>
      </x:c>
      <x:c r="O1" s="179" t="str">
        <x:v>accord_systems_unlocked</x:v>
      </x:c>
      <x:c r="P1" s="179" t="str">
        <x:v>decision_enabled</x:v>
      </x:c>
      <x:c r="Q1" s="179" t="str">
        <x:v>authority_state</x:v>
      </x:c>
      <x:c r="R1" s="179" t="str">
        <x:v>cost_state</x:v>
      </x:c>
      <x:c r="S1" s="179" t="str">
        <x:v>physical_evidence_state</x:v>
      </x:c>
      <x:c r="T1" s="179" t="str">
        <x:v>source_artifact</x:v>
      </x:c>
      <x:c r="U1" s="179" t="str">
        <x:v>source_url</x:v>
      </x:c>
      <x:c r="V1" s="179" t="str">
        <x:v>rationale_and_holds</x:v>
      </x:c>
    </x:row>
    <x:row r="2">
      <x:c r="A2" s="181" t="n">
        <x:v>1</x:v>
      </x:c>
      <x:c r="B2" s="181" t="str">
        <x:v>DIRECT PORTFOLIO GAP</x:v>
      </x:c>
      <x:c r="C2" s="181" t="n">
        <x:v>1</x:v>
      </x:c>
      <x:c r="D2" s="181" t="str">
        <x:v>P0</x:v>
      </x:c>
      <x:c r="E2" s="181" t="str">
        <x:v>Clearwood</x:v>
      </x:c>
      <x:c r="F2" s="181" t="str">
        <x:v>OUT OF STOCK</x:v>
      </x:c>
      <x:c r="G2" s="181" t="str">
        <x:v>RESTOCK</x:v>
      </x:c>
      <x:c r="H2" s="181" t="str">
        <x:v>ESSENTIAL UNBLOCKER</x:v>
      </x:c>
      <x:c r="I2" s="181" t="n">
        <x:v>95</x:v>
      </x:c>
      <x:c r="J2" s="181" t="n">
        <x:v>95</x:v>
      </x:c>
      <x:c r="K2" s="181" t="str">
        <x:v>VERY HIGH</x:v>
      </x:c>
      <x:c r="L2" s="181" t="str">
        <x:v>VERY HIGH</x:v>
      </x:c>
      <x:c r="M2" s="181" t="str">
        <x:v>HIGH</x:v>
      </x:c>
      <x:c r="N2" s="181" t="str">
        <x:v>Clean patchouli/woody transparency; modern drydown polish; wood-floral and amber bridge.</x:v>
      </x:c>
      <x:c r="O2" s="181" t="str">
        <x:v>Modern woods; woody iris; amber; chypre; clean skin woods</x:v>
      </x:c>
      <x:c r="P2" s="181" t="str">
        <x:v>Decide whether Clearwood should enter the next bounded accord and formula screens at exact stock.</x:v>
      </x:c>
      <x:c r="Q2" s="181" t="str">
        <x:v>ADEQUATE</x:v>
      </x:c>
      <x:c r="R2" s="181" t="str">
        <x:v>CURRENT QUOTE REQUIRED</x:v>
      </x:c>
      <x:c r="S2" s="181" t="str">
        <x:v>NOT TESTED</x:v>
      </x:c>
      <x:c r="T2" s="181" t="str">
        <x:v>Kenny_Current_Perfumery_Inventory_Master_Aug2026_v5.xlsx</x:v>
      </x:c>
      <x:c r="U2" s="181" t="str"/>
      <x:c r="V2" s="181" t="str">
        <x:v>Current V5 exact formula gap and depleted stock.</x:v>
      </x:c>
    </x:row>
    <x:row r="3">
      <x:c r="A3" s="181" t="n">
        <x:v>2</x:v>
      </x:c>
      <x:c r="B3" s="181" t="str">
        <x:v>DIRECT PORTFOLIO GAP</x:v>
      </x:c>
      <x:c r="C3" s="181" t="n">
        <x:v>2</x:v>
      </x:c>
      <x:c r="D3" s="181" t="str">
        <x:v>P0</x:v>
      </x:c>
      <x:c r="E3" s="181" t="str">
        <x:v>Red Mandarin EO</x:v>
      </x:c>
      <x:c r="F3" s="181" t="str">
        <x:v>OUT OF STOCK — CONFIRMED</x:v>
      </x:c>
      <x:c r="G3" s="181" t="str">
        <x:v>BUY EXACT OIL</x:v>
      </x:c>
      <x:c r="H3" s="181" t="str">
        <x:v>ESSENTIAL UNBLOCKER</x:v>
      </x:c>
      <x:c r="I3" s="181" t="n">
        <x:v>54</x:v>
      </x:c>
      <x:c r="J3" s="181" t="n">
        <x:v>54</x:v>
      </x:c>
      <x:c r="K3" s="181" t="str">
        <x:v>HIGH</x:v>
      </x:c>
      <x:c r="L3" s="181" t="str">
        <x:v>HIGH</x:v>
      </x:c>
      <x:c r="M3" s="181" t="str">
        <x:v>HIGH</x:v>
      </x:c>
      <x:c r="N3" s="181" t="str">
        <x:v>Juicy warm mandarin lift and top-to-heart continuity that blood orange or orange peel do not exactly replace.</x:v>
      </x:c>
      <x:c r="O3" s="181" t="str">
        <x:v>Citrus floral; cologne; aromatic; amber citrus</x:v>
      </x:c>
      <x:c r="P3" s="181" t="str">
        <x:v>Decide whether Red Mandarin EO should enter the next bounded accord and formula screens at exact stock.</x:v>
      </x:c>
      <x:c r="Q3" s="181" t="str">
        <x:v>ADEQUATE</x:v>
      </x:c>
      <x:c r="R3" s="181" t="str">
        <x:v>CURRENT QUOTE REQUIRED</x:v>
      </x:c>
      <x:c r="S3" s="181" t="str">
        <x:v>NOT TESTED</x:v>
      </x:c>
      <x:c r="T3" s="181" t="str">
        <x:v>Kenny_Current_Perfumery_Inventory_Master_Aug2026_v5.xlsx</x:v>
      </x:c>
      <x:c r="U3" s="181" t="str"/>
      <x:c r="V3" s="181" t="str">
        <x:v>Current V5 exact formula gap.</x:v>
      </x:c>
    </x:row>
    <x:row r="4">
      <x:c r="A4" s="181" t="n">
        <x:v>3</x:v>
      </x:c>
      <x:c r="B4" s="181" t="str">
        <x:v>DIRECT PORTFOLIO GAP</x:v>
      </x:c>
      <x:c r="C4" s="181" t="n">
        <x:v>3</x:v>
      </x:c>
      <x:c r="D4" s="181" t="str">
        <x:v>P0</x:v>
      </x:c>
      <x:c r="E4" s="181" t="str">
        <x:v>Cedrat FCF Oil Sicilian</x:v>
      </x:c>
      <x:c r="F4" s="181" t="str">
        <x:v>OUT OF STOCK — CONFIRMED</x:v>
      </x:c>
      <x:c r="G4" s="181" t="str">
        <x:v>BUY EXACT FCF OIL</x:v>
      </x:c>
      <x:c r="H4" s="181" t="str">
        <x:v>ESSENTIAL UNBLOCKER</x:v>
      </x:c>
      <x:c r="I4" s="181" t="n">
        <x:v>52</x:v>
      </x:c>
      <x:c r="J4" s="181" t="n">
        <x:v>52</x:v>
      </x:c>
      <x:c r="K4" s="181" t="str">
        <x:v>HIGH</x:v>
      </x:c>
      <x:c r="L4" s="181" t="str">
        <x:v>HIGH</x:v>
      </x:c>
      <x:c r="M4" s="181" t="str">
        <x:v>HIGH</x:v>
      </x:c>
      <x:c r="N4" s="181" t="str">
        <x:v>Dry citron pith, bitter peel and aromatic-citrus definition.</x:v>
      </x:c>
      <x:c r="O4" s="181" t="str">
        <x:v>Citrus top; aromatic woods; cologne; fresh amber</x:v>
      </x:c>
      <x:c r="P4" s="181" t="str">
        <x:v>Decide whether Cedrat FCF Oil Sicilian should enter the next bounded accord and formula screens at exact stock.</x:v>
      </x:c>
      <x:c r="Q4" s="181" t="str">
        <x:v>ADEQUATE</x:v>
      </x:c>
      <x:c r="R4" s="181" t="str">
        <x:v>CURRENT QUOTE REQUIRED</x:v>
      </x:c>
      <x:c r="S4" s="181" t="str">
        <x:v>NOT TESTED</x:v>
      </x:c>
      <x:c r="T4" s="181" t="str">
        <x:v>Kenny_Current_Perfumery_Inventory_Master_Aug2026_v5.xlsx</x:v>
      </x:c>
      <x:c r="U4" s="181" t="str"/>
      <x:c r="V4" s="181" t="str">
        <x:v>Current V5 exact formula gap.</x:v>
      </x:c>
    </x:row>
    <x:row r="5">
      <x:c r="A5" s="181" t="n">
        <x:v>4</x:v>
      </x:c>
      <x:c r="B5" s="181" t="str">
        <x:v>DIRECT PORTFOLIO GAP</x:v>
      </x:c>
      <x:c r="C5" s="181" t="n">
        <x:v>4</x:v>
      </x:c>
      <x:c r="D5" s="181" t="str">
        <x:v>P0-AUTH</x:v>
      </x:c>
      <x:c r="E5" s="181" t="str">
        <x:v>Globanone 50%</x:v>
      </x:c>
      <x:c r="F5" s="181" t="str">
        <x:v>GAP</x:v>
      </x:c>
      <x:c r="G5" s="181" t="str">
        <x:v>VERIFY BOTTLE BEFORE BUY</x:v>
      </x:c>
      <x:c r="H5" s="181" t="str">
        <x:v>EVIDENCE GAP, NOT INVENTORY GAP</x:v>
      </x:c>
      <x:c r="I5" s="181" t="n">
        <x:v>49</x:v>
      </x:c>
      <x:c r="J5" s="181" t="n">
        <x:v>49</x:v>
      </x:c>
      <x:c r="K5" s="181" t="str">
        <x:v>VERY HIGH</x:v>
      </x:c>
      <x:c r="L5" s="181" t="str">
        <x:v>VERY HIGH</x:v>
      </x:c>
      <x:c r="M5" s="181" t="str">
        <x:v>HIGH</x:v>
      </x:c>
      <x:c r="N5" s="181" t="str">
        <x:v>Macrocyclic-musk body, skin texture and persistence hypothesis.</x:v>
      </x:c>
      <x:c r="O5" s="181" t="str">
        <x:v>Clean musk; skin musk; floral musk; woody musk</x:v>
      </x:c>
      <x:c r="P5" s="181" t="str">
        <x:v>Decide whether Globanone 50% should enter the next bounded accord and formula screens at exact stock.</x:v>
      </x:c>
      <x:c r="Q5" s="181" t="str">
        <x:v>CONFLICT — VERIFY</x:v>
      </x:c>
      <x:c r="R5" s="181" t="str">
        <x:v>CURRENT QUOTE REQUIRED</x:v>
      </x:c>
      <x:c r="S5" s="181" t="str">
        <x:v>NOT TESTED</x:v>
      </x:c>
      <x:c r="T5" s="181" t="str">
        <x:v>Kenny_Current_Perfumery_Inventory_Master_Aug2026_v5.xlsx</x:v>
      </x:c>
      <x:c r="U5" s="181" t="str"/>
      <x:c r="V5" s="181" t="str">
        <x:v>V5 marks GAP, but earlier inventory history reported ownership. Resolve the conflict before repurchase.</x:v>
      </x:c>
    </x:row>
    <x:row r="6">
      <x:c r="A6" s="181" t="n">
        <x:v>5</x:v>
      </x:c>
      <x:c r="B6" s="181" t="str">
        <x:v>DIRECT PORTFOLIO GAP</x:v>
      </x:c>
      <x:c r="C6" s="181" t="n">
        <x:v>5</x:v>
      </x:c>
      <x:c r="D6" s="181" t="str">
        <x:v>P0-AUTH</x:v>
      </x:c>
      <x:c r="E6" s="181" t="str">
        <x:v>Amber Core 10%</x:v>
      </x:c>
      <x:c r="F6" s="181" t="str">
        <x:v>GAP</x:v>
      </x:c>
      <x:c r="G6" s="181" t="str">
        <x:v>VERIFY BOTTLE BEFORE BUY</x:v>
      </x:c>
      <x:c r="H6" s="181" t="str">
        <x:v>EVIDENCE GAP, NOT INVENTORY GAP</x:v>
      </x:c>
      <x:c r="I6" s="181" t="n">
        <x:v>48</x:v>
      </x:c>
      <x:c r="J6" s="181" t="n">
        <x:v>48</x:v>
      </x:c>
      <x:c r="K6" s="181" t="str">
        <x:v>HIGH</x:v>
      </x:c>
      <x:c r="L6" s="181" t="str">
        <x:v>HIGH</x:v>
      </x:c>
      <x:c r="M6" s="181" t="str">
        <x:v>HIGH</x:v>
      </x:c>
      <x:c r="N6" s="181" t="str">
        <x:v>Rounded amber body and bridge between sweet balsamic, woods and musk.</x:v>
      </x:c>
      <x:c r="O6" s="181" t="str">
        <x:v>Soft amber; amber floral; woody amber; gourmand amber</x:v>
      </x:c>
      <x:c r="P6" s="181" t="str">
        <x:v>Decide whether Amber Core 10% should enter the next bounded accord and formula screens at exact stock.</x:v>
      </x:c>
      <x:c r="Q6" s="181" t="str">
        <x:v>CONFLICT — VERIFY</x:v>
      </x:c>
      <x:c r="R6" s="181" t="str">
        <x:v>CURRENT QUOTE REQUIRED</x:v>
      </x:c>
      <x:c r="S6" s="181" t="str">
        <x:v>NOT TESTED</x:v>
      </x:c>
      <x:c r="T6" s="181" t="str">
        <x:v>Kenny_Current_Perfumery_Inventory_Master_Aug2026_v5.xlsx</x:v>
      </x:c>
      <x:c r="U6" s="181" t="str"/>
      <x:c r="V6" s="181" t="str">
        <x:v>V5 marks GAP, but earlier inventory history reported ownership. Resolve the conflict before repurchase.</x:v>
      </x:c>
    </x:row>
    <x:row r="7">
      <x:c r="A7" s="181" t="n">
        <x:v>6</x:v>
      </x:c>
      <x:c r="B7" s="181" t="str">
        <x:v>DIRECT PORTFOLIO GAP</x:v>
      </x:c>
      <x:c r="C7" s="181" t="n">
        <x:v>6</x:v>
      </x:c>
      <x:c r="D7" s="181" t="str">
        <x:v>P0-AUTH</x:v>
      </x:c>
      <x:c r="E7" s="181" t="str">
        <x:v>Amber Xtreme 0.1%</x:v>
      </x:c>
      <x:c r="F7" s="181" t="str">
        <x:v>GAP</x:v>
      </x:c>
      <x:c r="G7" s="181" t="str">
        <x:v>VERIFY BOTTLE BEFORE BUY</x:v>
      </x:c>
      <x:c r="H7" s="181" t="str">
        <x:v>EVIDENCE GAP, NOT INVENTORY GAP</x:v>
      </x:c>
      <x:c r="I7" s="181" t="n">
        <x:v>47</x:v>
      </x:c>
      <x:c r="J7" s="181" t="n">
        <x:v>47</x:v>
      </x:c>
      <x:c r="K7" s="181" t="str">
        <x:v>VERY HIGH</x:v>
      </x:c>
      <x:c r="L7" s="181" t="str">
        <x:v>VERY HIGH</x:v>
      </x:c>
      <x:c r="M7" s="181" t="str">
        <x:v>CRITICAL</x:v>
      </x:c>
      <x:c r="N7" s="181" t="str">
        <x:v>Trace amberwood pressure, diffusion and late skeleton; overdose risk is substantial.</x:v>
      </x:c>
      <x:c r="O7" s="181" t="str">
        <x:v>Woody amber; mineral musk; citrus amber; performance scaffolds</x:v>
      </x:c>
      <x:c r="P7" s="181" t="str">
        <x:v>Decide whether Amber Xtreme 0.1% should enter the next bounded accord and formula screens at exact stock.</x:v>
      </x:c>
      <x:c r="Q7" s="181" t="str">
        <x:v>CONFLICT — VERIFY</x:v>
      </x:c>
      <x:c r="R7" s="181" t="str">
        <x:v>CURRENT QUOTE REQUIRED</x:v>
      </x:c>
      <x:c r="S7" s="181" t="str">
        <x:v>NOT TESTED</x:v>
      </x:c>
      <x:c r="T7" s="181" t="str">
        <x:v>Kenny_Current_Perfumery_Inventory_Master_Aug2026_v5.xlsx</x:v>
      </x:c>
      <x:c r="U7" s="181" t="str">
        <x:v>https://www.iff.com/scent/ingredients-compendium/amber-xtreme-2/</x:v>
      </x:c>
      <x:c r="V7" s="181" t="str">
        <x:v>V5 marks GAP, but earlier inventory history reported ownership. Resolve exact stock before repurchase.</x:v>
      </x:c>
    </x:row>
    <x:row r="8">
      <x:c r="A8" s="181" t="n">
        <x:v>7</x:v>
      </x:c>
      <x:c r="B8" s="181" t="str">
        <x:v>DIRECT PORTFOLIO GAP</x:v>
      </x:c>
      <x:c r="C8" s="181" t="n">
        <x:v>7</x:v>
      </x:c>
      <x:c r="D8" s="181" t="str">
        <x:v>P0</x:v>
      </x:c>
      <x:c r="E8" s="181" t="str">
        <x:v>Nutmeg EO</x:v>
      </x:c>
      <x:c r="F8" s="181" t="str">
        <x:v>GAP</x:v>
      </x:c>
      <x:c r="G8" s="181" t="str">
        <x:v>BUY EXACT OIL</x:v>
      </x:c>
      <x:c r="H8" s="181" t="str">
        <x:v>ESSENTIAL UNBLOCKER</x:v>
      </x:c>
      <x:c r="I8" s="181" t="n">
        <x:v>44</x:v>
      </x:c>
      <x:c r="J8" s="181" t="n">
        <x:v>44</x:v>
      </x:c>
      <x:c r="K8" s="181" t="str">
        <x:v>HIGH</x:v>
      </x:c>
      <x:c r="L8" s="181" t="str">
        <x:v>HIGH</x:v>
      </x:c>
      <x:c r="M8" s="181" t="str">
        <x:v>HIGH</x:v>
      </x:c>
      <x:c r="N8" s="181" t="str">
        <x:v>Warm diffusive spice, woody sweetness and top-heart-base bridging.</x:v>
      </x:c>
      <x:c r="O8" s="181" t="str">
        <x:v>Spice woods; tobacco; amber; aromatic; gourmand</x:v>
      </x:c>
      <x:c r="P8" s="181" t="str">
        <x:v>Decide whether Nutmeg EO should enter the next bounded accord and formula screens at exact stock.</x:v>
      </x:c>
      <x:c r="Q8" s="181" t="str">
        <x:v>ADEQUATE</x:v>
      </x:c>
      <x:c r="R8" s="181" t="str">
        <x:v>CURRENT QUOTE REQUIRED</x:v>
      </x:c>
      <x:c r="S8" s="181" t="str">
        <x:v>NOT TESTED</x:v>
      </x:c>
      <x:c r="T8" s="181" t="str">
        <x:v>Kenny_Current_Perfumery_Inventory_Master_Aug2026_v5.xlsx</x:v>
      </x:c>
      <x:c r="U8" s="181" t="str"/>
      <x:c r="V8" s="181" t="str">
        <x:v>Current V5 direct formula gap.</x:v>
      </x:c>
    </x:row>
    <x:row r="9">
      <x:c r="A9" s="181" t="n">
        <x:v>8</x:v>
      </x:c>
      <x:c r="B9" s="181" t="str">
        <x:v>DIRECT PORTFOLIO GAP</x:v>
      </x:c>
      <x:c r="C9" s="181" t="n">
        <x:v>8</x:v>
      </x:c>
      <x:c r="D9" s="181" t="str">
        <x:v>P0-AUTH</x:v>
      </x:c>
      <x:c r="E9" s="181" t="str">
        <x:v>Jasmonyl</x:v>
      </x:c>
      <x:c r="F9" s="181" t="str">
        <x:v>GAP — DISTINCT MATERIAL</x:v>
      </x:c>
      <x:c r="G9" s="181" t="str">
        <x:v>VERIFY BOTTLE BEFORE BUY</x:v>
      </x:c>
      <x:c r="H9" s="181" t="str">
        <x:v>EVIDENCE GAP, NOT INVENTORY GAP</x:v>
      </x:c>
      <x:c r="I9" s="181" t="n">
        <x:v>38</x:v>
      </x:c>
      <x:c r="J9" s="181" t="n">
        <x:v>38</x:v>
      </x:c>
      <x:c r="K9" s="181" t="str">
        <x:v>HIGH</x:v>
      </x:c>
      <x:c r="L9" s="181" t="str">
        <x:v>HIGH</x:v>
      </x:c>
      <x:c r="M9" s="181" t="str">
        <x:v>HIGH</x:v>
      </x:c>
      <x:c r="N9" s="181" t="str">
        <x:v>Lactonic jasmine texture with green/mushroom nuance; distinct from Jessemal and cis-Jasmone.</x:v>
      </x:c>
      <x:c r="O9" s="181" t="str">
        <x:v>Jasmine; white floral; tea floral; floral woods</x:v>
      </x:c>
      <x:c r="P9" s="181" t="str">
        <x:v>Decide whether Jasmonyl should enter the next bounded accord and formula screens at exact stock.</x:v>
      </x:c>
      <x:c r="Q9" s="181" t="str">
        <x:v>CONFLICT — VERIFY</x:v>
      </x:c>
      <x:c r="R9" s="181" t="str">
        <x:v>CURRENT QUOTE REQUIRED</x:v>
      </x:c>
      <x:c r="S9" s="181" t="str">
        <x:v>NOT TESTED</x:v>
      </x:c>
      <x:c r="T9" s="181" t="str">
        <x:v>Kenny_Current_Perfumery_Inventory_Master_Aug2026_v5.xlsx</x:v>
      </x:c>
      <x:c r="U9" s="181" t="str"/>
      <x:c r="V9" s="181" t="str">
        <x:v>V5 marks a distinct-material gap, while earlier inventory history reported ownership.</x:v>
      </x:c>
    </x:row>
    <x:row r="10">
      <x:c r="A10" s="181" t="n">
        <x:v>9</x:v>
      </x:c>
      <x:c r="B10" s="181" t="str">
        <x:v>DIRECT PORTFOLIO GAP</x:v>
      </x:c>
      <x:c r="C10" s="181" t="n">
        <x:v>9</x:v>
      </x:c>
      <x:c r="D10" s="181" t="str">
        <x:v>P1</x:v>
      </x:c>
      <x:c r="E10" s="181" t="str">
        <x:v>Guaiacwood EO</x:v>
      </x:c>
      <x:c r="F10" s="181" t="str">
        <x:v>GAP</x:v>
      </x:c>
      <x:c r="G10" s="181" t="str">
        <x:v>BUY OR SAMPLE EXACT OIL</x:v>
      </x:c>
      <x:c r="H10" s="181" t="str">
        <x:v>ESSENTIAL UNBLOCKER</x:v>
      </x:c>
      <x:c r="I10" s="181" t="n">
        <x:v>15</x:v>
      </x:c>
      <x:c r="J10" s="181" t="n">
        <x:v>15</x:v>
      </x:c>
      <x:c r="K10" s="181" t="str">
        <x:v>HIGH</x:v>
      </x:c>
      <x:c r="L10" s="181" t="str">
        <x:v>MEDIUM</x:v>
      </x:c>
      <x:c r="M10" s="181" t="str">
        <x:v>HIGH</x:v>
      </x:c>
      <x:c r="N10" s="181" t="str">
        <x:v>Soft smoke, floral wood, balsamic warmth and phenolic depth without relying only on guaiacol.</x:v>
      </x:c>
      <x:c r="O10" s="181" t="str">
        <x:v>Incense wood; leather; tobacco; dark floral; amber</x:v>
      </x:c>
      <x:c r="P10" s="181" t="str">
        <x:v>Decide whether Guaiacwood EO should enter the next bounded accord and formula screens at exact stock.</x:v>
      </x:c>
      <x:c r="Q10" s="181" t="str">
        <x:v>ADEQUATE</x:v>
      </x:c>
      <x:c r="R10" s="181" t="str">
        <x:v>CURRENT QUOTE REQUIRED</x:v>
      </x:c>
      <x:c r="S10" s="181" t="str">
        <x:v>NOT TESTED</x:v>
      </x:c>
      <x:c r="T10" s="181" t="str">
        <x:v>Kenny_Current_Perfumery_Inventory_Master_Aug2026_v5.xlsx</x:v>
      </x:c>
      <x:c r="U10" s="181" t="str">
        <x:v>https://www.perfumersworld.com/sitemap.php</x:v>
      </x:c>
      <x:c r="V10" s="181" t="str">
        <x:v>Current V5 direct formula gap.</x:v>
      </x:c>
    </x:row>
    <x:row r="11">
      <x:c r="A11" s="181" t="n">
        <x:v>10</x:v>
      </x:c>
      <x:c r="B11" s="181" t="str">
        <x:v>DIRECT PORTFOLIO GAP</x:v>
      </x:c>
      <x:c r="C11" s="181" t="n">
        <x:v>10</x:v>
      </x:c>
      <x:c r="D11" s="181" t="str">
        <x:v>P1</x:v>
      </x:c>
      <x:c r="E11" s="181" t="str">
        <x:v>Pink Pepper EO / CO2</x:v>
      </x:c>
      <x:c r="F11" s="181" t="str">
        <x:v>GAP</x:v>
      </x:c>
      <x:c r="G11" s="181" t="str">
        <x:v>BUY ONE EXACT EXTRACT</x:v>
      </x:c>
      <x:c r="H11" s="181" t="str">
        <x:v>USEFUL SPECIALIST</x:v>
      </x:c>
      <x:c r="I11" s="181" t="n">
        <x:v>8</x:v>
      </x:c>
      <x:c r="J11" s="181" t="n">
        <x:v>8</x:v>
      </x:c>
      <x:c r="K11" s="181" t="str">
        <x:v>HIGH</x:v>
      </x:c>
      <x:c r="L11" s="181" t="str">
        <x:v>MEDIUM</x:v>
      </x:c>
      <x:c r="M11" s="181" t="str">
        <x:v>HIGH</x:v>
      </x:c>
      <x:c r="N11" s="181" t="str">
        <x:v>Rosy pepper sparkle, kinetic lift and floral-spice connection.</x:v>
      </x:c>
      <x:c r="O11" s="181" t="str">
        <x:v>Modern citrus; rose; aromatic; woody amber</x:v>
      </x:c>
      <x:c r="P11" s="181" t="str">
        <x:v>Decide whether Pink Pepper EO / CO2 should enter the next bounded accord and formula screens at exact stock.</x:v>
      </x:c>
      <x:c r="Q11" s="181" t="str">
        <x:v>ADEQUATE</x:v>
      </x:c>
      <x:c r="R11" s="181" t="str">
        <x:v>CURRENT QUOTE REQUIRED</x:v>
      </x:c>
      <x:c r="S11" s="181" t="str">
        <x:v>NOT TESTED</x:v>
      </x:c>
      <x:c r="T11" s="181" t="str">
        <x:v>Kenny_Current_Perfumery_Inventory_Master_Aug2026_v5.xlsx</x:v>
      </x:c>
      <x:c r="U11" s="181" t="str">
        <x:v>https://www.perfumersworld.com/sitemap.php</x:v>
      </x:c>
      <x:c r="V11" s="181" t="str">
        <x:v>Current V5 direct formula gap. EO and CO2 are not interchangeable.</x:v>
      </x:c>
    </x:row>
    <x:row r="12">
      <x:c r="A12" s="181" t="n">
        <x:v>11</x:v>
      </x:c>
      <x:c r="B12" s="181" t="str">
        <x:v>DIRECT PORTFOLIO GAP</x:v>
      </x:c>
      <x:c r="C12" s="181" t="n">
        <x:v>11</x:v>
      </x:c>
      <x:c r="D12" s="181" t="str">
        <x:v>P1</x:v>
      </x:c>
      <x:c r="E12" s="181" t="str">
        <x:v>Myrrh Resinoid 50%</x:v>
      </x:c>
      <x:c r="F12" s="181" t="str">
        <x:v>GAP</x:v>
      </x:c>
      <x:c r="G12" s="181" t="str">
        <x:v>SAMPLE EXACT PRODUCT</x:v>
      </x:c>
      <x:c r="H12" s="181" t="str">
        <x:v>USEFUL SPECIALIST</x:v>
      </x:c>
      <x:c r="I12" s="181" t="n">
        <x:v>7</x:v>
      </x:c>
      <x:c r="J12" s="181" t="n">
        <x:v>7</x:v>
      </x:c>
      <x:c r="K12" s="181" t="str">
        <x:v>HIGH</x:v>
      </x:c>
      <x:c r="L12" s="181" t="str">
        <x:v>MEDIUM</x:v>
      </x:c>
      <x:c r="M12" s="181" t="str">
        <x:v>HIGH</x:v>
      </x:c>
      <x:c r="N12" s="181" t="str">
        <x:v>Bitter balsamic, medicinal-incense and dark leather complexity.</x:v>
      </x:c>
      <x:c r="O12" s="181" t="str">
        <x:v>Incense; resin amber; leather; dark floral</x:v>
      </x:c>
      <x:c r="P12" s="181" t="str">
        <x:v>Decide whether Myrrh Resinoid 50% should enter the next bounded accord and formula screens at exact stock.</x:v>
      </x:c>
      <x:c r="Q12" s="181" t="str">
        <x:v>ADEQUATE</x:v>
      </x:c>
      <x:c r="R12" s="181" t="str">
        <x:v>CURRENT QUOTE REQUIRED</x:v>
      </x:c>
      <x:c r="S12" s="181" t="str">
        <x:v>NOT TESTED</x:v>
      </x:c>
      <x:c r="T12" s="181" t="str">
        <x:v>Kenny_Current_Perfumery_Inventory_Master_Aug2026_v5.xlsx</x:v>
      </x:c>
      <x:c r="U12" s="181" t="str"/>
      <x:c r="V12" s="181" t="str">
        <x:v>Current V5 direct formula gap; exact species, extract and carrier matter.</x:v>
      </x:c>
    </x:row>
    <x:row r="13">
      <x:c r="A13" s="181" t="n">
        <x:v>12</x:v>
      </x:c>
      <x:c r="B13" s="181" t="str">
        <x:v>DIRECT PORTFOLIO GAP</x:v>
      </x:c>
      <x:c r="C13" s="181" t="n">
        <x:v>12</x:v>
      </x:c>
      <x:c r="D13" s="181" t="str">
        <x:v>P2</x:v>
      </x:c>
      <x:c r="E13" s="181" t="str">
        <x:v>White Pepper EO / CO2</x:v>
      </x:c>
      <x:c r="F13" s="181" t="str">
        <x:v>GAP</x:v>
      </x:c>
      <x:c r="G13" s="181" t="str">
        <x:v>SAMPLE ONE EXACT EXTRACT</x:v>
      </x:c>
      <x:c r="H13" s="181" t="str">
        <x:v>USEFUL SPECIALIST</x:v>
      </x:c>
      <x:c r="I13" s="181" t="n">
        <x:v>6</x:v>
      </x:c>
      <x:c r="J13" s="181" t="n">
        <x:v>6</x:v>
      </x:c>
      <x:c r="K13" s="181" t="str">
        <x:v>MEDIUM</x:v>
      </x:c>
      <x:c r="L13" s="181" t="str">
        <x:v>MEDIUM</x:v>
      </x:c>
      <x:c r="M13" s="181" t="str">
        <x:v>HIGH</x:v>
      </x:c>
      <x:c r="N13" s="181" t="str">
        <x:v>Dry cool pepper lift distinct from black pepper.</x:v>
      </x:c>
      <x:c r="O13" s="181" t="str">
        <x:v>Spice floral; aromatic woods; tea; incense</x:v>
      </x:c>
      <x:c r="P13" s="181" t="str">
        <x:v>Decide whether White Pepper EO / CO2 should enter the next bounded accord and formula screens at exact stock.</x:v>
      </x:c>
      <x:c r="Q13" s="181" t="str">
        <x:v>ADEQUATE</x:v>
      </x:c>
      <x:c r="R13" s="181" t="str">
        <x:v>CURRENT QUOTE REQUIRED</x:v>
      </x:c>
      <x:c r="S13" s="181" t="str">
        <x:v>NOT TESTED</x:v>
      </x:c>
      <x:c r="T13" s="181" t="str">
        <x:v>Kenny_Current_Perfumery_Inventory_Master_Aug2026_v5.xlsx</x:v>
      </x:c>
      <x:c r="U13" s="181" t="str"/>
      <x:c r="V13" s="181" t="str">
        <x:v>Current V5 direct formula gap. EO and CO2 remain non-equivalent.</x:v>
      </x:c>
    </x:row>
    <x:row r="14">
      <x:c r="A14" s="181" t="n">
        <x:v>13</x:v>
      </x:c>
      <x:c r="B14" s="181" t="str">
        <x:v>DIRECT PORTFOLIO GAP</x:v>
      </x:c>
      <x:c r="C14" s="181" t="n">
        <x:v>13</x:v>
      </x:c>
      <x:c r="D14" s="181" t="str">
        <x:v>P2</x:v>
      </x:c>
      <x:c r="E14" s="181" t="str">
        <x:v>Cedarwood Atlas</x:v>
      </x:c>
      <x:c r="F14" s="181" t="str">
        <x:v>GAP — ATLAS</x:v>
      </x:c>
      <x:c r="G14" s="181" t="str">
        <x:v>SAMPLE EXACT ATLAS OIL</x:v>
      </x:c>
      <x:c r="H14" s="181" t="str">
        <x:v>USEFUL SPECIALIST</x:v>
      </x:c>
      <x:c r="I14" s="181" t="n">
        <x:v>5</x:v>
      </x:c>
      <x:c r="J14" s="181" t="n">
        <x:v>5</x:v>
      </x:c>
      <x:c r="K14" s="181" t="str">
        <x:v>MEDIUM</x:v>
      </x:c>
      <x:c r="L14" s="181" t="str">
        <x:v>MEDIUM</x:v>
      </x:c>
      <x:c r="M14" s="181" t="str">
        <x:v>HIGH</x:v>
      </x:c>
      <x:c r="N14" s="181" t="str">
        <x:v>Warm resinous natural cedar texture distinct from Chinese, Virginia and Himalayan cedar.</x:v>
      </x:c>
      <x:c r="O14" s="181" t="str">
        <x:v>Cedar accord; incense woods; chypre; leather</x:v>
      </x:c>
      <x:c r="P14" s="181" t="str">
        <x:v>Decide whether Cedarwood Atlas should enter the next bounded accord and formula screens at exact stock.</x:v>
      </x:c>
      <x:c r="Q14" s="181" t="str">
        <x:v>ADEQUATE</x:v>
      </x:c>
      <x:c r="R14" s="181" t="str">
        <x:v>CURRENT QUOTE REQUIRED</x:v>
      </x:c>
      <x:c r="S14" s="181" t="str">
        <x:v>NOT TESTED</x:v>
      </x:c>
      <x:c r="T14" s="181" t="str">
        <x:v>Kenny_Current_Perfumery_Inventory_Master_Aug2026_v5.xlsx</x:v>
      </x:c>
      <x:c r="U14" s="181" t="str"/>
      <x:c r="V14" s="181" t="str">
        <x:v>Current V5 direct formula gap; species-specific identity is required.</x:v>
      </x:c>
    </x:row>
    <x:row r="15">
      <x:c r="A15" s="182" t="n">
        <x:v>14</x:v>
      </x:c>
      <x:c r="B15" s="182" t="str">
        <x:v>DIRECT PORTFOLIO GAP</x:v>
      </x:c>
      <x:c r="C15" s="182" t="n">
        <x:v>14</x:v>
      </x:c>
      <x:c r="D15" s="182" t="str">
        <x:v>P2</x:v>
      </x:c>
      <x:c r="E15" s="182" t="str">
        <x:v>Oakwood CO2 10%</x:v>
      </x:c>
      <x:c r="F15" s="182" t="str">
        <x:v>GAP</x:v>
      </x:c>
      <x:c r="G15" s="182" t="str">
        <x:v>SAMPLE EXACT CO2</x:v>
      </x:c>
      <x:c r="H15" s="182" t="str">
        <x:v>USEFUL SPECIALIST</x:v>
      </x:c>
      <x:c r="I15" s="182" t="n">
        <x:v>4</x:v>
      </x:c>
      <x:c r="J15" s="182" t="n">
        <x:v>4</x:v>
      </x:c>
      <x:c r="K15" s="182" t="str">
        <x:v>MEDIUM</x:v>
      </x:c>
      <x:c r="L15" s="182" t="str">
        <x:v>LOW</x:v>
      </x:c>
      <x:c r="M15" s="182" t="str">
        <x:v>HIGH</x:v>
      </x:c>
      <x:c r="N15" s="182" t="str">
        <x:v>Tannic barrel, dry oak and fermented-wood depth.</x:v>
      </x:c>
      <x:c r="O15" s="182" t="str">
        <x:v>Cognac; rum; tobacco; leather; woody gourmand</x:v>
      </x:c>
      <x:c r="P15" s="182" t="str">
        <x:v>Decide whether Oakwood CO2 10% should enter the next bounded accord and formula screens at exact stock.</x:v>
      </x:c>
      <x:c r="Q15" s="182" t="str">
        <x:v>ADEQUATE</x:v>
      </x:c>
      <x:c r="R15" s="182" t="str">
        <x:v>CURRENT QUOTE REQUIRED</x:v>
      </x:c>
      <x:c r="S15" s="182" t="str">
        <x:v>NOT TESTED</x:v>
      </x:c>
      <x:c r="T15" s="182" t="str">
        <x:v>Kenny_Current_Perfumery_Inventory_Master_Aug2026_v5.xlsx</x:v>
      </x:c>
      <x:c r="U15" s="182" t="str"/>
      <x:c r="V15" s="182" t="str">
        <x:v>Current V5 direct formula gap; CO2 is not interchangeable with oak accords.</x:v>
      </x:c>
    </x:row>
  </x:sheetData>
  <x:conditionalFormatting sqref="D2:D15">
    <x:cfRule type="expression" dxfId="38" priority="1">
      <x:formula>LEFT(D2,2)="P0"</x:formula>
    </x:cfRule>
    <x:cfRule type="expression" dxfId="39" priority="2">
      <x:formula>D2="P1"</x:formula>
    </x:cfRule>
  </x:conditionalFormatting>
  <x:conditionalFormatting sqref="I2:I15">
    <x:cfRule type="dataBar" priority="3">
      <x:dataBar>
        <x:cfvo type="min"/>
        <x:cfvo type="max"/>
        <x:color rgb="FFA02B93"/>
      </x:dataBar>
      <x:extLst>
        <x:ext xmlns:x14="http://schemas.microsoft.com/office/spreadsheetml/2009/9/main" uri="{B025F937-C7B1-47D3-B67F-A62EFF666E3E}">
          <x14:id>{80F7A059-053E-D418-6E4E-9518DC5E1A11}</x14:id>
        </x:ext>
      </x:extLst>
    </x:cfRule>
  </x:conditionalFormatting>
  <x:conditionalFormatting sqref="G2:G15">
    <x:cfRule type="expression" dxfId="40" priority="4">
      <x:formula>ISNUMBER(SEARCH("VERIFY",G2))</x:formula>
    </x:cfRule>
  </x:conditionalFormatting>
  <x:pageMargins left="0.7" right="0.7" top="0.75" bottom="0.75" header="0.3" footer="0.3"/>
  <x:tableParts count="1">
    <x:tablePart xmlns:r="http://schemas.openxmlformats.org/officeDocument/2006/relationships" r:id="Rccee19d062d74548"/>
  </x:tableParts>
  <x:extLst>
    <x:ext xmlns:x14="http://schemas.microsoft.com/office/spreadsheetml/2009/9/main" xmlns:xm="http://schemas.microsoft.com/office/excel/2006/main" uri="{78C0D931-6437-407d-A8EE-F0AAD7539E65}">
      <x14:conditionalFormattings>
        <x14:conditionalFormatting>
          <x14:cfRule type="dataBar" priority="3" id="{80F7A059-053E-D418-6E4E-9518DC5E1A11}">
            <x14:dataBar gradient="1">
              <x14:cfvo type="min"/>
              <x14:cfvo type="max"/>
              <x14:fillColor rgb="FFA02B93"/>
            </x14:dataBar>
          </x14:cfRule>
          <xm:sqref>I2:I15</xm:sqref>
        </x14:conditionalFormatting>
      </x14:conditionalFormattings>
    </x:ext>
  </x:extLst>
</x:worksheet>
</file>

<file path=xl/worksheets/sheet15.xml><?xml version="1.0" encoding="utf-8"?>
<x:worksheet xmlns:x="http://schemas.openxmlformats.org/spreadsheetml/2006/main">
  <x:sheetFormatPr defaultRowHeight="15"/>
  <x:cols>
    <x:col min="1" max="1" width="11" hidden="0" customWidth="1"/>
    <x:col min="2" max="2" width="23" hidden="0" customWidth="1"/>
    <x:col min="3" max="3" width="10" hidden="0" customWidth="1"/>
    <x:col min="4" max="4" width="14" hidden="0" customWidth="1"/>
    <x:col min="5" max="5" width="30" hidden="0" customWidth="1"/>
    <x:col min="6" max="6" width="30" hidden="0" customWidth="1"/>
    <x:col min="7" max="7" width="28" hidden="0" customWidth="1"/>
    <x:col min="8" max="8" width="31" hidden="0" customWidth="1"/>
    <x:col min="9" max="9" width="15" hidden="0" customWidth="1"/>
    <x:col min="10" max="10" width="13" hidden="0" customWidth="1"/>
    <x:col min="11" max="11" width="18" hidden="0" customWidth="1"/>
    <x:col min="12" max="12" width="17" hidden="0" customWidth="1"/>
    <x:col min="13" max="13" width="18" hidden="0" customWidth="1"/>
    <x:col min="14" max="14" width="42" hidden="0" customWidth="1"/>
    <x:col min="15" max="15" width="37" hidden="0" customWidth="1"/>
    <x:col min="16" max="16" width="42" hidden="0" customWidth="1"/>
    <x:col min="17" max="17" width="28" hidden="0" customWidth="1"/>
    <x:col min="18" max="18" width="23" hidden="0" customWidth="1"/>
    <x:col min="19" max="19" width="20" hidden="0" customWidth="1"/>
    <x:col min="20" max="20" width="34" hidden="0" customWidth="1"/>
    <x:col min="21" max="21" width="42" hidden="0" customWidth="1"/>
    <x:col min="22" max="22" width="48" hidden="0" customWidth="1"/>
  </x:cols>
  <x:sheetData>
    <x:row r="1" ht="34" customHeight="1">
      <x:c r="A1" s="179" t="str">
        <x:v>master_action_rank</x:v>
      </x:c>
      <x:c r="B1" s="179" t="str">
        <x:v>lane</x:v>
      </x:c>
      <x:c r="C1" s="179" t="str">
        <x:v>lane_rank</x:v>
      </x:c>
      <x:c r="D1" s="179" t="str">
        <x:v>priority_band</x:v>
      </x:c>
      <x:c r="E1" s="179" t="str">
        <x:v>material</x:v>
      </x:c>
      <x:c r="F1" s="179" t="str">
        <x:v>current_state</x:v>
      </x:c>
      <x:c r="G1" s="179" t="str">
        <x:v>recommended_action</x:v>
      </x:c>
      <x:c r="H1" s="179" t="str">
        <x:v>purchase_class</x:v>
      </x:c>
      <x:c r="I1" s="179" t="str">
        <x:v>current_formula_count</x:v>
      </x:c>
      <x:c r="J1" s="179" t="str">
        <x:v>current_row_uses</x:v>
      </x:c>
      <x:c r="K1" s="179" t="str">
        <x:v>hedonic_leverage_hypothesis</x:v>
      </x:c>
      <x:c r="L1" s="179" t="str">
        <x:v>architectural_reuse</x:v>
      </x:c>
      <x:c r="M1" s="179" t="str">
        <x:v>substitution_collapse_risk</x:v>
      </x:c>
      <x:c r="N1" s="179" t="str">
        <x:v>missing_functions_or_value</x:v>
      </x:c>
      <x:c r="O1" s="179" t="str">
        <x:v>accord_systems_unlocked</x:v>
      </x:c>
      <x:c r="P1" s="179" t="str">
        <x:v>decision_enabled</x:v>
      </x:c>
      <x:c r="Q1" s="179" t="str">
        <x:v>authority_state</x:v>
      </x:c>
      <x:c r="R1" s="179" t="str">
        <x:v>cost_state</x:v>
      </x:c>
      <x:c r="S1" s="179" t="str">
        <x:v>physical_evidence_state</x:v>
      </x:c>
      <x:c r="T1" s="179" t="str">
        <x:v>source_artifact</x:v>
      </x:c>
      <x:c r="U1" s="179" t="str">
        <x:v>source_url</x:v>
      </x:c>
      <x:c r="V1" s="179" t="str">
        <x:v>rationale_and_holds</x:v>
      </x:c>
    </x:row>
    <x:row r="2">
      <x:c r="A2" s="181" t="n">
        <x:v>15</x:v>
      </x:c>
      <x:c r="B2" s="181" t="str">
        <x:v>ARCHITECTURAL EXPANSION</x:v>
      </x:c>
      <x:c r="C2" s="181" t="n">
        <x:v>1</x:v>
      </x:c>
      <x:c r="D2" s="181" t="str">
        <x:v>P1</x:v>
      </x:c>
      <x:c r="E2" s="181" t="str">
        <x:v>Ethylene Brassylate</x:v>
      </x:c>
      <x:c r="F2" s="181" t="str">
        <x:v>NOT IN V5 CURRENT INVENTORY</x:v>
      </x:c>
      <x:c r="G2" s="181" t="str">
        <x:v>SAMPLE / ACQUIRE</x:v>
      </x:c>
      <x:c r="H2" s="181" t="str">
        <x:v>HIGH_VALUE ARCHITECTURAL EXPANSION</x:v>
      </x:c>
      <x:c r="I2" s="181" t="n">
        <x:v>0</x:v>
      </x:c>
      <x:c r="J2" s="181" t="n">
        <x:v>0</x:v>
      </x:c>
      <x:c r="K2" s="181" t="str">
        <x:v>VERY HIGH</x:v>
      </x:c>
      <x:c r="L2" s="181" t="str">
        <x:v>VERY HIGH</x:v>
      </x:c>
      <x:c r="M2" s="181" t="str">
        <x:v>HIGH</x:v>
      </x:c>
      <x:c r="N2" s="181" t="str">
        <x:v>Broad soft clean musk body, fixation and low-cost volume; supplies an independent musk geometry.</x:v>
      </x:c>
      <x:c r="O2" s="181" t="str">
        <x:v>Clean musk; floral musk; woody musk; powder; skin</x:v>
      </x:c>
      <x:c r="P2" s="181" t="str">
        <x:v>Decide whether Ethylene Brassylate opens a non-redundant, physically preferred accord branch versus current stock.</x:v>
      </x:c>
      <x:c r="Q2" s="181" t="str">
        <x:v>SUPPLIER / EXACT STOCK REQUIRED</x:v>
      </x:c>
      <x:c r="R2" s="181" t="str">
        <x:v>CURRENT QUOTE REQUIRED</x:v>
      </x:c>
      <x:c r="S2" s="181" t="str">
        <x:v>NOT TESTED</x:v>
      </x:c>
      <x:c r="T2" s="181" t="str">
        <x:v>Program v3 purchase-intelligence rules + user-declared gaps</x:v>
      </x:c>
      <x:c r="U2" s="181" t="str">
        <x:v>https://www.perfumersworld.com/sitemap.php</x:v>
      </x:c>
      <x:c r="V2" s="181" t="str">
        <x:v>Ranking is an architectural and sensory-leverage hypothesis. It does not establish beauty, broad appeal, target identity, safety or stability.</x:v>
      </x:c>
    </x:row>
    <x:row r="3">
      <x:c r="A3" s="181" t="n">
        <x:v>16</x:v>
      </x:c>
      <x:c r="B3" s="181" t="str">
        <x:v>ARCHITECTURAL EXPANSION</x:v>
      </x:c>
      <x:c r="C3" s="181" t="n">
        <x:v>2</x:v>
      </x:c>
      <x:c r="D3" s="181" t="str">
        <x:v>P1</x:v>
      </x:c>
      <x:c r="E3" s="181" t="str">
        <x:v>Vetiveryl Acetate</x:v>
      </x:c>
      <x:c r="F3" s="181" t="str">
        <x:v>NOT IN V5 CURRENT INVENTORY</x:v>
      </x:c>
      <x:c r="G3" s="181" t="str">
        <x:v>SAMPLE / ACQUIRE</x:v>
      </x:c>
      <x:c r="H3" s="181" t="str">
        <x:v>HIGH_VALUE ARCHITECTURAL EXPANSION</x:v>
      </x:c>
      <x:c r="I3" s="181" t="n">
        <x:v>0</x:v>
      </x:c>
      <x:c r="J3" s="181" t="n">
        <x:v>0</x:v>
      </x:c>
      <x:c r="K3" s="181" t="str">
        <x:v>VERY HIGH</x:v>
      </x:c>
      <x:c r="L3" s="181" t="str">
        <x:v>VERY HIGH</x:v>
      </x:c>
      <x:c r="M3" s="181" t="str">
        <x:v>HIGH</x:v>
      </x:c>
      <x:c r="N3" s="181" t="str">
        <x:v>Polished dry vetiver, clean rootwood and elegant heart-to-base bridge.</x:v>
      </x:c>
      <x:c r="O3" s="181" t="str">
        <x:v>Vetiver; citrus woods; chypre; iris woods; aromatic</x:v>
      </x:c>
      <x:c r="P3" s="181" t="str">
        <x:v>Decide whether Vetiveryl Acetate opens a non-redundant, physically preferred accord branch versus current stock.</x:v>
      </x:c>
      <x:c r="Q3" s="181" t="str">
        <x:v>SUPPLIER / EXACT STOCK REQUIRED</x:v>
      </x:c>
      <x:c r="R3" s="181" t="str">
        <x:v>CURRENT QUOTE REQUIRED</x:v>
      </x:c>
      <x:c r="S3" s="181" t="str">
        <x:v>NOT TESTED</x:v>
      </x:c>
      <x:c r="T3" s="181" t="str">
        <x:v>Program v3 purchase-intelligence rules + user-declared gaps</x:v>
      </x:c>
      <x:c r="U3" s="181" t="str">
        <x:v>https://www.perfumersworld.com/sitemap.php</x:v>
      </x:c>
      <x:c r="V3" s="181" t="str">
        <x:v>Ranking is an architectural and sensory-leverage hypothesis. It does not establish beauty, broad appeal, target identity, safety or stability.</x:v>
      </x:c>
    </x:row>
    <x:row r="4">
      <x:c r="A4" s="181" t="n">
        <x:v>17</x:v>
      </x:c>
      <x:c r="B4" s="181" t="str">
        <x:v>ARCHITECTURAL EXPANSION</x:v>
      </x:c>
      <x:c r="C4" s="181" t="n">
        <x:v>3</x:v>
      </x:c>
      <x:c r="D4" s="181" t="str">
        <x:v>P1</x:v>
      </x:c>
      <x:c r="E4" s="181" t="str">
        <x:v>Hedione High Cis</x:v>
      </x:c>
      <x:c r="F4" s="181" t="str">
        <x:v>NOT IN V5 CURRENT INVENTORY</x:v>
      </x:c>
      <x:c r="G4" s="181" t="str">
        <x:v>SAMPLE FIRST</x:v>
      </x:c>
      <x:c r="H4" s="181" t="str">
        <x:v>HIGH_VALUE ARCHITECTURAL EXPANSION</x:v>
      </x:c>
      <x:c r="I4" s="181" t="n">
        <x:v>0</x:v>
      </x:c>
      <x:c r="J4" s="181" t="n">
        <x:v>0</x:v>
      </x:c>
      <x:c r="K4" s="181" t="str">
        <x:v>VERY HIGH</x:v>
      </x:c>
      <x:c r="L4" s="181" t="str">
        <x:v>VERY HIGH</x:v>
      </x:c>
      <x:c r="M4" s="181" t="str">
        <x:v>MODERATE</x:v>
      </x:c>
      <x:c r="N4" s="181" t="str">
        <x:v>Higher-impact floral-air and bloom axis to compare against the owned standard Hedione.</x:v>
      </x:c>
      <x:c r="O4" s="181" t="str">
        <x:v>Jasmine air; muguet; rose; citrus floral; transparent woods</x:v>
      </x:c>
      <x:c r="P4" s="181" t="str">
        <x:v>Decide whether Hedione High Cis opens a non-redundant, physically preferred accord branch versus current stock.</x:v>
      </x:c>
      <x:c r="Q4" s="181" t="str">
        <x:v>SUPPLIER / EXACT STOCK REQUIRED</x:v>
      </x:c>
      <x:c r="R4" s="181" t="str">
        <x:v>CURRENT QUOTE REQUIRED</x:v>
      </x:c>
      <x:c r="S4" s="181" t="str">
        <x:v>NOT TESTED</x:v>
      </x:c>
      <x:c r="T4" s="181" t="str">
        <x:v>Program v3 purchase-intelligence rules + user-declared gaps</x:v>
      </x:c>
      <x:c r="U4" s="181" t="str">
        <x:v>https://www.perfumersworld.com/sitemap.php</x:v>
      </x:c>
      <x:c r="V4" s="181" t="str">
        <x:v>Ranking is an architectural and sensory-leverage hypothesis. It does not establish beauty, broad appeal, target identity, safety or stability.</x:v>
      </x:c>
    </x:row>
    <x:row r="5">
      <x:c r="A5" s="181" t="n">
        <x:v>18</x:v>
      </x:c>
      <x:c r="B5" s="181" t="str">
        <x:v>ARCHITECTURAL EXPANSION</x:v>
      </x:c>
      <x:c r="C5" s="181" t="n">
        <x:v>4</x:v>
      </x:c>
      <x:c r="D5" s="181" t="str">
        <x:v>P1</x:v>
      </x:c>
      <x:c r="E5" s="181" t="str">
        <x:v>Ethyl Linalool</x:v>
      </x:c>
      <x:c r="F5" s="181" t="str">
        <x:v>NOT IN V5 CURRENT INVENTORY</x:v>
      </x:c>
      <x:c r="G5" s="181" t="str">
        <x:v>SAMPLE / ACQUIRE</x:v>
      </x:c>
      <x:c r="H5" s="181" t="str">
        <x:v>HIGH_VALUE ARCHITECTURAL EXPANSION</x:v>
      </x:c>
      <x:c r="I5" s="181" t="n">
        <x:v>0</x:v>
      </x:c>
      <x:c r="J5" s="181" t="n">
        <x:v>0</x:v>
      </x:c>
      <x:c r="K5" s="181" t="str">
        <x:v>VERY HIGH</x:v>
      </x:c>
      <x:c r="L5" s="181" t="str">
        <x:v>VERY HIGH</x:v>
      </x:c>
      <x:c r="M5" s="181" t="str">
        <x:v>HIGH</x:v>
      </x:c>
      <x:c r="N5" s="181" t="str">
        <x:v>Clean floral-aromatic lift and top-heart continuity on a distinct axis from linalool.</x:v>
      </x:c>
      <x:c r="O5" s="181" t="str">
        <x:v>Aromatic; lavender; citrus floral; muguet; modern clean</x:v>
      </x:c>
      <x:c r="P5" s="181" t="str">
        <x:v>Decide whether Ethyl Linalool opens a non-redundant, physically preferred accord branch versus current stock.</x:v>
      </x:c>
      <x:c r="Q5" s="181" t="str">
        <x:v>SUPPLIER / EXACT STOCK REQUIRED</x:v>
      </x:c>
      <x:c r="R5" s="181" t="str">
        <x:v>CURRENT QUOTE REQUIRED</x:v>
      </x:c>
      <x:c r="S5" s="181" t="str">
        <x:v>NOT TESTED</x:v>
      </x:c>
      <x:c r="T5" s="181" t="str">
        <x:v>Program v3 purchase-intelligence rules + user-declared gaps</x:v>
      </x:c>
      <x:c r="U5" s="181" t="str">
        <x:v>https://www.perfumersworld.com/sitemap.php</x:v>
      </x:c>
      <x:c r="V5" s="181" t="str">
        <x:v>Ranking is an architectural and sensory-leverage hypothesis. It does not establish beauty, broad appeal, target identity, safety or stability.</x:v>
      </x:c>
    </x:row>
    <x:row r="6">
      <x:c r="A6" s="181" t="n">
        <x:v>19</x:v>
      </x:c>
      <x:c r="B6" s="181" t="str">
        <x:v>ARCHITECTURAL EXPANSION</x:v>
      </x:c>
      <x:c r="C6" s="181" t="n">
        <x:v>5</x:v>
      </x:c>
      <x:c r="D6" s="181" t="str">
        <x:v>P1</x:v>
      </x:c>
      <x:c r="E6" s="181" t="str">
        <x:v>Methyl Ionone Gamma Coeur</x:v>
      </x:c>
      <x:c r="F6" s="181" t="str">
        <x:v>NOT IN V5 CURRENT INVENTORY</x:v>
      </x:c>
      <x:c r="G6" s="181" t="str">
        <x:v>SAMPLE / ACQUIRE</x:v>
      </x:c>
      <x:c r="H6" s="181" t="str">
        <x:v>HIGH_VALUE ARCHITECTURAL EXPANSION</x:v>
      </x:c>
      <x:c r="I6" s="181" t="n">
        <x:v>0</x:v>
      </x:c>
      <x:c r="J6" s="181" t="n">
        <x:v>0</x:v>
      </x:c>
      <x:c r="K6" s="181" t="str">
        <x:v>VERY HIGH</x:v>
      </x:c>
      <x:c r="L6" s="181" t="str">
        <x:v>HIGH</x:v>
      </x:c>
      <x:c r="M6" s="181" t="str">
        <x:v>HIGH</x:v>
      </x:c>
      <x:c r="N6" s="181" t="str">
        <x:v>Dense polished iris-violet body and cosmetic texture unavailable from the current ionone set in the same geometry.</x:v>
      </x:c>
      <x:c r="O6" s="181" t="str">
        <x:v>Iris; violet; orris; suede floral; woody powder</x:v>
      </x:c>
      <x:c r="P6" s="181" t="str">
        <x:v>Decide whether Methyl Ionone Gamma Coeur opens a non-redundant, physically preferred accord branch versus current stock.</x:v>
      </x:c>
      <x:c r="Q6" s="181" t="str">
        <x:v>SUPPLIER / EXACT STOCK REQUIRED</x:v>
      </x:c>
      <x:c r="R6" s="181" t="str">
        <x:v>CURRENT QUOTE REQUIRED</x:v>
      </x:c>
      <x:c r="S6" s="181" t="str">
        <x:v>NOT TESTED</x:v>
      </x:c>
      <x:c r="T6" s="181" t="str">
        <x:v>Program v3 purchase-intelligence rules + user-declared gaps</x:v>
      </x:c>
      <x:c r="U6" s="181" t="str">
        <x:v>https://www.iff.com/sitemap/</x:v>
      </x:c>
      <x:c r="V6" s="181" t="str">
        <x:v>Ranking is an architectural and sensory-leverage hypothesis. It does not establish beauty, broad appeal, target identity, safety or stability.</x:v>
      </x:c>
    </x:row>
    <x:row r="7">
      <x:c r="A7" s="181" t="n">
        <x:v>20</x:v>
      </x:c>
      <x:c r="B7" s="181" t="str">
        <x:v>ARCHITECTURAL EXPANSION</x:v>
      </x:c>
      <x:c r="C7" s="181" t="n">
        <x:v>6</x:v>
      </x:c>
      <x:c r="D7" s="181" t="str">
        <x:v>P1</x:v>
      </x:c>
      <x:c r="E7" s="181" t="str">
        <x:v>Bacdanol</x:v>
      </x:c>
      <x:c r="F7" s="181" t="str">
        <x:v>NOT IN V5 CURRENT INVENTORY</x:v>
      </x:c>
      <x:c r="G7" s="181" t="str">
        <x:v>SAMPLE / ACQUIRE</x:v>
      </x:c>
      <x:c r="H7" s="181" t="str">
        <x:v>HIGH_VALUE ARCHITECTURAL EXPANSION</x:v>
      </x:c>
      <x:c r="I7" s="181" t="n">
        <x:v>0</x:v>
      </x:c>
      <x:c r="J7" s="181" t="n">
        <x:v>0</x:v>
      </x:c>
      <x:c r="K7" s="181" t="str">
        <x:v>VERY HIGH</x:v>
      </x:c>
      <x:c r="L7" s="181" t="str">
        <x:v>HIGH</x:v>
      </x:c>
      <x:c r="M7" s="181" t="str">
        <x:v>HIGH</x:v>
      </x:c>
      <x:c r="N7" s="181" t="str">
        <x:v>Powerful true-sandalwood support with high diffusion and long floral reinforcement.</x:v>
      </x:c>
      <x:c r="O7" s="181" t="str">
        <x:v>Creamy woods; floral woods; amber; skin woods</x:v>
      </x:c>
      <x:c r="P7" s="181" t="str">
        <x:v>Decide whether Bacdanol opens a non-redundant, physically preferred accord branch versus current stock.</x:v>
      </x:c>
      <x:c r="Q7" s="181" t="str">
        <x:v>SUPPLIER / EXACT STOCK REQUIRED</x:v>
      </x:c>
      <x:c r="R7" s="181" t="str">
        <x:v>CURRENT QUOTE REQUIRED</x:v>
      </x:c>
      <x:c r="S7" s="181" t="str">
        <x:v>NOT TESTED</x:v>
      </x:c>
      <x:c r="T7" s="181" t="str">
        <x:v>Program v3 purchase-intelligence rules + user-declared gaps</x:v>
      </x:c>
      <x:c r="U7" s="181" t="str">
        <x:v>https://www.iff.com/scent/ingredients-compendium/bacdanol/</x:v>
      </x:c>
      <x:c r="V7" s="181" t="str">
        <x:v>Ranking is an architectural and sensory-leverage hypothesis. It does not establish beauty, broad appeal, target identity, safety or stability.</x:v>
      </x:c>
    </x:row>
    <x:row r="8">
      <x:c r="A8" s="181" t="n">
        <x:v>21</x:v>
      </x:c>
      <x:c r="B8" s="181" t="str">
        <x:v>ARCHITECTURAL EXPANSION</x:v>
      </x:c>
      <x:c r="C8" s="181" t="n">
        <x:v>7</x:v>
      </x:c>
      <x:c r="D8" s="181" t="str">
        <x:v>P1</x:v>
      </x:c>
      <x:c r="E8" s="181" t="str">
        <x:v>Muscenone Delta</x:v>
      </x:c>
      <x:c r="F8" s="181" t="str">
        <x:v>NOT IN V5 CURRENT INVENTORY</x:v>
      </x:c>
      <x:c r="G8" s="181" t="str">
        <x:v>SAMPLE FIRST / SUPPLIER LOCK</x:v>
      </x:c>
      <x:c r="H8" s="181" t="str">
        <x:v>HIGH_VALUE ARCHITECTURAL EXPANSION</x:v>
      </x:c>
      <x:c r="I8" s="181" t="n">
        <x:v>0</x:v>
      </x:c>
      <x:c r="J8" s="181" t="n">
        <x:v>0</x:v>
      </x:c>
      <x:c r="K8" s="181" t="str">
        <x:v>VERY HIGH</x:v>
      </x:c>
      <x:c r="L8" s="181" t="str">
        <x:v>MEDIUM</x:v>
      </x:c>
      <x:c r="M8" s="181" t="str">
        <x:v>HIGH</x:v>
      </x:c>
      <x:c r="N8" s="181" t="str">
        <x:v>Refined warm skin-musk microtexture and luxury residue hypothesis.</x:v>
      </x:c>
      <x:c r="O8" s="181" t="str">
        <x:v>Skin musk; orris musk; floral musk; amber skin</x:v>
      </x:c>
      <x:c r="P8" s="181" t="str">
        <x:v>Decide whether Muscenone Delta opens a non-redundant, physically preferred accord branch versus current stock.</x:v>
      </x:c>
      <x:c r="Q8" s="181" t="str">
        <x:v>SUPPLIER / EXACT STOCK REQUIRED</x:v>
      </x:c>
      <x:c r="R8" s="181" t="str">
        <x:v>CURRENT QUOTE REQUIRED</x:v>
      </x:c>
      <x:c r="S8" s="181" t="str">
        <x:v>NOT TESTED</x:v>
      </x:c>
      <x:c r="T8" s="181" t="str">
        <x:v>Program v3 purchase-intelligence rules + user-declared gaps</x:v>
      </x:c>
      <x:c r="U8" s="181" t="str"/>
      <x:c r="V8" s="181" t="str">
        <x:v>Ranking is an architectural and sensory-leverage hypothesis. It does not establish beauty, broad appeal, target identity, safety or stability.</x:v>
      </x:c>
    </x:row>
    <x:row r="9">
      <x:c r="A9" s="181" t="n">
        <x:v>22</x:v>
      </x:c>
      <x:c r="B9" s="181" t="str">
        <x:v>ARCHITECTURAL EXPANSION</x:v>
      </x:c>
      <x:c r="C9" s="181" t="n">
        <x:v>8</x:v>
      </x:c>
      <x:c r="D9" s="181" t="str">
        <x:v>P1</x:v>
      </x:c>
      <x:c r="E9" s="181" t="str">
        <x:v>Liffarome</x:v>
      </x:c>
      <x:c r="F9" s="181" t="str">
        <x:v>NOT IN V5 CURRENT INVENTORY</x:v>
      </x:c>
      <x:c r="G9" s="181" t="str">
        <x:v>SAMPLE / ACQUIRE</x:v>
      </x:c>
      <x:c r="H9" s="181" t="str">
        <x:v>HIGH_VALUE ARCHITECTURAL EXPANSION</x:v>
      </x:c>
      <x:c r="I9" s="181" t="n">
        <x:v>0</x:v>
      </x:c>
      <x:c r="J9" s="181" t="n">
        <x:v>0</x:v>
      </x:c>
      <x:c r="K9" s="181" t="str">
        <x:v>HIGH</x:v>
      </x:c>
      <x:c r="L9" s="181" t="str">
        <x:v>HIGH</x:v>
      </x:c>
      <x:c r="M9" s="181" t="str">
        <x:v>HIGH</x:v>
      </x:c>
      <x:c r="N9" s="181" t="str">
        <x:v>Trace-effective violet-green, pear and grass sparkle linking leaf, fruit and floral systems.</x:v>
      </x:c>
      <x:c r="O9" s="181" t="str">
        <x:v>Green floral; pear; violet leaf; citrus; muguet</x:v>
      </x:c>
      <x:c r="P9" s="181" t="str">
        <x:v>Decide whether Liffarome opens a non-redundant, physically preferred accord branch versus current stock.</x:v>
      </x:c>
      <x:c r="Q9" s="181" t="str">
        <x:v>SUPPLIER / EXACT STOCK REQUIRED</x:v>
      </x:c>
      <x:c r="R9" s="181" t="str">
        <x:v>CURRENT QUOTE REQUIRED</x:v>
      </x:c>
      <x:c r="S9" s="181" t="str">
        <x:v>NOT TESTED</x:v>
      </x:c>
      <x:c r="T9" s="181" t="str">
        <x:v>Program v3 purchase-intelligence rules + user-declared gaps</x:v>
      </x:c>
      <x:c r="U9" s="181" t="str">
        <x:v>https://www.iff.com/scent/ingredients-compendium/liffarome/</x:v>
      </x:c>
      <x:c r="V9" s="181" t="str">
        <x:v>Ranking is an architectural and sensory-leverage hypothesis. It does not establish beauty, broad appeal, target identity, safety or stability.</x:v>
      </x:c>
    </x:row>
    <x:row r="10">
      <x:c r="A10" s="181" t="n">
        <x:v>23</x:v>
      </x:c>
      <x:c r="B10" s="181" t="str">
        <x:v>ARCHITECTURAL EXPANSION</x:v>
      </x:c>
      <x:c r="C10" s="181" t="n">
        <x:v>9</x:v>
      </x:c>
      <x:c r="D10" s="181" t="str">
        <x:v>P1</x:v>
      </x:c>
      <x:c r="E10" s="181" t="str">
        <x:v>cis-3-Hexenyl Salicylate</x:v>
      </x:c>
      <x:c r="F10" s="181" t="str">
        <x:v>NOT IN V5 CURRENT INVENTORY</x:v>
      </x:c>
      <x:c r="G10" s="181" t="str">
        <x:v>SAMPLE / ACQUIRE</x:v>
      </x:c>
      <x:c r="H10" s="181" t="str">
        <x:v>HIGH_VALUE ARCHITECTURAL EXPANSION</x:v>
      </x:c>
      <x:c r="I10" s="181" t="n">
        <x:v>0</x:v>
      </x:c>
      <x:c r="J10" s="181" t="n">
        <x:v>0</x:v>
      </x:c>
      <x:c r="K10" s="181" t="str">
        <x:v>HIGH</x:v>
      </x:c>
      <x:c r="L10" s="181" t="str">
        <x:v>HIGH</x:v>
      </x:c>
      <x:c r="M10" s="181" t="str">
        <x:v>HIGH</x:v>
      </x:c>
      <x:c r="N10" s="181" t="str">
        <x:v>Persistent green-floral bridge that carries cut leaf into the heart without relying only on Leafovert.</x:v>
      </x:c>
      <x:c r="O10" s="181" t="str">
        <x:v>Leaf floral; muguet; rose; violet; green fruit</x:v>
      </x:c>
      <x:c r="P10" s="181" t="str">
        <x:v>Decide whether cis-3-Hexenyl Salicylate opens a non-redundant, physically preferred accord branch versus current stock.</x:v>
      </x:c>
      <x:c r="Q10" s="181" t="str">
        <x:v>SUPPLIER / EXACT STOCK REQUIRED</x:v>
      </x:c>
      <x:c r="R10" s="181" t="str">
        <x:v>CURRENT QUOTE REQUIRED</x:v>
      </x:c>
      <x:c r="S10" s="181" t="str">
        <x:v>NOT TESTED</x:v>
      </x:c>
      <x:c r="T10" s="181" t="str">
        <x:v>Program v3 purchase-intelligence rules + user-declared gaps</x:v>
      </x:c>
      <x:c r="U10" s="181" t="str">
        <x:v>https://www.perfumersworld.com/document-list.php?pro_id=6FG07793&amp;tab=allergen</x:v>
      </x:c>
      <x:c r="V10" s="181" t="str">
        <x:v>Ranking is an architectural and sensory-leverage hypothesis. It does not establish beauty, broad appeal, target identity, safety or stability.</x:v>
      </x:c>
    </x:row>
    <x:row r="11">
      <x:c r="A11" s="181" t="n">
        <x:v>24</x:v>
      </x:c>
      <x:c r="B11" s="181" t="str">
        <x:v>ARCHITECTURAL EXPANSION</x:v>
      </x:c>
      <x:c r="C11" s="181" t="n">
        <x:v>10</x:v>
      </x:c>
      <x:c r="D11" s="181" t="str">
        <x:v>P1</x:v>
      </x:c>
      <x:c r="E11" s="181" t="str">
        <x:v>Orange Flower Absolute 10% in DPG</x:v>
      </x:c>
      <x:c r="F11" s="181" t="str">
        <x:v>NOT IN V5 CURRENT INVENTORY</x:v>
      </x:c>
      <x:c r="G11" s="181" t="str">
        <x:v>SAMPLE FIRST</x:v>
      </x:c>
      <x:c r="H11" s="181" t="str">
        <x:v>HIGH_VALUE ARCHITECTURAL EXPANSION</x:v>
      </x:c>
      <x:c r="I11" s="181" t="n">
        <x:v>0</x:v>
      </x:c>
      <x:c r="J11" s="181" t="n">
        <x:v>0</x:v>
      </x:c>
      <x:c r="K11" s="181" t="str">
        <x:v>HIGH</x:v>
      </x:c>
      <x:c r="L11" s="181" t="str">
        <x:v>MEDIUM</x:v>
      </x:c>
      <x:c r="M11" s="181" t="str">
        <x:v>HIGH</x:v>
      </x:c>
      <x:c r="N11" s="181" t="str">
        <x:v>Dark honeyed, waxy, leafy and indolic orange-blossom texture not supplied by neroli alone.</x:v>
      </x:c>
      <x:c r="O11" s="181" t="str">
        <x:v>Orange blossom; floral amber; chypre; honeyed white floral</x:v>
      </x:c>
      <x:c r="P11" s="181" t="str">
        <x:v>Decide whether Orange Flower Absolute 10% in DPG opens a non-redundant, physically preferred accord branch versus current stock.</x:v>
      </x:c>
      <x:c r="Q11" s="181" t="str">
        <x:v>SUPPLIER / EXACT STOCK REQUIRED</x:v>
      </x:c>
      <x:c r="R11" s="181" t="str">
        <x:v>CURRENT QUOTE REQUIRED</x:v>
      </x:c>
      <x:c r="S11" s="181" t="str">
        <x:v>NOT TESTED</x:v>
      </x:c>
      <x:c r="T11" s="181" t="str">
        <x:v>Program v3 purchase-intelligence rules + user-declared gaps</x:v>
      </x:c>
      <x:c r="U11" s="181" t="str"/>
      <x:c r="V11" s="181" t="str">
        <x:v>Ranking is an architectural and sensory-leverage hypothesis. It does not establish beauty, broad appeal, target identity, safety or stability.</x:v>
      </x:c>
    </x:row>
    <x:row r="12">
      <x:c r="A12" s="181" t="n">
        <x:v>25</x:v>
      </x:c>
      <x:c r="B12" s="181" t="str">
        <x:v>ARCHITECTURAL EXPANSION</x:v>
      </x:c>
      <x:c r="C12" s="181" t="n">
        <x:v>11</x:v>
      </x:c>
      <x:c r="D12" s="181" t="str">
        <x:v>P2</x:v>
      </x:c>
      <x:c r="E12" s="181" t="str">
        <x:v>Dihydro Alpha Ionone</x:v>
      </x:c>
      <x:c r="F12" s="181" t="str">
        <x:v>NOT IN V5 CURRENT INVENTORY</x:v>
      </x:c>
      <x:c r="G12" s="181" t="str">
        <x:v>SAMPLE / ACQUIRE</x:v>
      </x:c>
      <x:c r="H12" s="181" t="str">
        <x:v>USEFUL SPECIALIST</x:v>
      </x:c>
      <x:c r="I12" s="181" t="n">
        <x:v>0</x:v>
      </x:c>
      <x:c r="J12" s="181" t="n">
        <x:v>0</x:v>
      </x:c>
      <x:c r="K12" s="181" t="str">
        <x:v>HIGH</x:v>
      </x:c>
      <x:c r="L12" s="181" t="str">
        <x:v>MEDIUM</x:v>
      </x:c>
      <x:c r="M12" s="181" t="str">
        <x:v>HIGH</x:v>
      </x:c>
      <x:c r="N12" s="181" t="str">
        <x:v>Dry woody iris-violet nuance and a new contrast against the current alpha/beta/dihydro-beta ionone set.</x:v>
      </x:c>
      <x:c r="O12" s="181" t="str">
        <x:v>Iris; violet; woody floral; suede</x:v>
      </x:c>
      <x:c r="P12" s="181" t="str">
        <x:v>Decide whether Dihydro Alpha Ionone opens a non-redundant, physically preferred accord branch versus current stock.</x:v>
      </x:c>
      <x:c r="Q12" s="181" t="str">
        <x:v>SUPPLIER / EXACT STOCK REQUIRED</x:v>
      </x:c>
      <x:c r="R12" s="181" t="str">
        <x:v>CURRENT QUOTE REQUIRED</x:v>
      </x:c>
      <x:c r="S12" s="181" t="str">
        <x:v>NOT TESTED</x:v>
      </x:c>
      <x:c r="T12" s="181" t="str">
        <x:v>Program v3 purchase-intelligence rules + user-declared gaps</x:v>
      </x:c>
      <x:c r="U12" s="181" t="str"/>
      <x:c r="V12" s="181" t="str">
        <x:v>Ranking is an architectural and sensory-leverage hypothesis. It does not establish beauty, broad appeal, target identity, safety or stability.</x:v>
      </x:c>
    </x:row>
    <x:row r="13">
      <x:c r="A13" s="181" t="n">
        <x:v>26</x:v>
      </x:c>
      <x:c r="B13" s="181" t="str">
        <x:v>ARCHITECTURAL EXPANSION</x:v>
      </x:c>
      <x:c r="C13" s="181" t="n">
        <x:v>12</x:v>
      </x:c>
      <x:c r="D13" s="181" t="str">
        <x:v>P2</x:v>
      </x:c>
      <x:c r="E13" s="181" t="str">
        <x:v>Geranyl Acetate</x:v>
      </x:c>
      <x:c r="F13" s="181" t="str">
        <x:v>NOT IN V5 CURRENT INVENTORY</x:v>
      </x:c>
      <x:c r="G13" s="181" t="str">
        <x:v>SAMPLE / ACQUIRE</x:v>
      </x:c>
      <x:c r="H13" s="181" t="str">
        <x:v>HIGH_VALUE ARCHITECTURAL EXPANSION</x:v>
      </x:c>
      <x:c r="I13" s="181" t="n">
        <x:v>0</x:v>
      </x:c>
      <x:c r="J13" s="181" t="n">
        <x:v>0</x:v>
      </x:c>
      <x:c r="K13" s="181" t="str">
        <x:v>HIGH</x:v>
      </x:c>
      <x:c r="L13" s="181" t="str">
        <x:v>HIGH</x:v>
      </x:c>
      <x:c r="M13" s="181" t="str">
        <x:v>MODERATE</x:v>
      </x:c>
      <x:c r="N13" s="181" t="str">
        <x:v>Fresh rosy-fruity floral lift and naturalistic petal motion.</x:v>
      </x:c>
      <x:c r="O13" s="181" t="str">
        <x:v>Rose; geranium; muguet; citrus floral; fruity floral</x:v>
      </x:c>
      <x:c r="P13" s="181" t="str">
        <x:v>Decide whether Geranyl Acetate opens a non-redundant, physically preferred accord branch versus current stock.</x:v>
      </x:c>
      <x:c r="Q13" s="181" t="str">
        <x:v>SUPPLIER / EXACT STOCK REQUIRED</x:v>
      </x:c>
      <x:c r="R13" s="181" t="str">
        <x:v>CURRENT QUOTE REQUIRED</x:v>
      </x:c>
      <x:c r="S13" s="181" t="str">
        <x:v>NOT TESTED</x:v>
      </x:c>
      <x:c r="T13" s="181" t="str">
        <x:v>Program v3 purchase-intelligence rules + user-declared gaps</x:v>
      </x:c>
      <x:c r="U13" s="181" t="str">
        <x:v>https://www.perfumersworld.com/sitemap.php</x:v>
      </x:c>
      <x:c r="V13" s="181" t="str">
        <x:v>Ranking is an architectural and sensory-leverage hypothesis. It does not establish beauty, broad appeal, target identity, safety or stability.</x:v>
      </x:c>
    </x:row>
    <x:row r="14">
      <x:c r="A14" s="181" t="n">
        <x:v>27</x:v>
      </x:c>
      <x:c r="B14" s="181" t="str">
        <x:v>ARCHITECTURAL EXPANSION</x:v>
      </x:c>
      <x:c r="C14" s="181" t="n">
        <x:v>13</x:v>
      </x:c>
      <x:c r="D14" s="181" t="str">
        <x:v>P2</x:v>
      </x:c>
      <x:c r="E14" s="181" t="str">
        <x:v>Neryl Acetate</x:v>
      </x:c>
      <x:c r="F14" s="181" t="str">
        <x:v>NOT IN V5 CURRENT INVENTORY</x:v>
      </x:c>
      <x:c r="G14" s="181" t="str">
        <x:v>SAMPLE / ACQUIRE</x:v>
      </x:c>
      <x:c r="H14" s="181" t="str">
        <x:v>USEFUL SPECIALIST</x:v>
      </x:c>
      <x:c r="I14" s="181" t="n">
        <x:v>0</x:v>
      </x:c>
      <x:c r="J14" s="181" t="n">
        <x:v>0</x:v>
      </x:c>
      <x:c r="K14" s="181" t="str">
        <x:v>HIGH</x:v>
      </x:c>
      <x:c r="L14" s="181" t="str">
        <x:v>MEDIUM</x:v>
      </x:c>
      <x:c r="M14" s="181" t="str">
        <x:v>MODERATE</x:v>
      </x:c>
      <x:c r="N14" s="181" t="str">
        <x:v>Softer floral-citrus fruitiness for rose, neroli and white-floral transitions.</x:v>
      </x:c>
      <x:c r="O14" s="181" t="str">
        <x:v>Neroli; rose; citrus floral; muguet</x:v>
      </x:c>
      <x:c r="P14" s="181" t="str">
        <x:v>Decide whether Neryl Acetate opens a non-redundant, physically preferred accord branch versus current stock.</x:v>
      </x:c>
      <x:c r="Q14" s="181" t="str">
        <x:v>SUPPLIER / EXACT STOCK REQUIRED</x:v>
      </x:c>
      <x:c r="R14" s="181" t="str">
        <x:v>CURRENT QUOTE REQUIRED</x:v>
      </x:c>
      <x:c r="S14" s="181" t="str">
        <x:v>NOT TESTED</x:v>
      </x:c>
      <x:c r="T14" s="181" t="str">
        <x:v>Program v3 purchase-intelligence rules + user-declared gaps</x:v>
      </x:c>
      <x:c r="U14" s="181" t="str">
        <x:v>https://www.iff.com/sitemap/</x:v>
      </x:c>
      <x:c r="V14" s="181" t="str">
        <x:v>Ranking is an architectural and sensory-leverage hypothesis. It does not establish beauty, broad appeal, target identity, safety or stability.</x:v>
      </x:c>
    </x:row>
    <x:row r="15">
      <x:c r="A15" s="181" t="n">
        <x:v>28</x:v>
      </x:c>
      <x:c r="B15" s="181" t="str">
        <x:v>ARCHITECTURAL EXPANSION</x:v>
      </x:c>
      <x:c r="C15" s="181" t="n">
        <x:v>14</x:v>
      </x:c>
      <x:c r="D15" s="181" t="str">
        <x:v>P2</x:v>
      </x:c>
      <x:c r="E15" s="181" t="str">
        <x:v>Citronellyl Acetate</x:v>
      </x:c>
      <x:c r="F15" s="181" t="str">
        <x:v>NOT IN V5 CURRENT INVENTORY</x:v>
      </x:c>
      <x:c r="G15" s="181" t="str">
        <x:v>SAMPLE / ACQUIRE</x:v>
      </x:c>
      <x:c r="H15" s="181" t="str">
        <x:v>USEFUL SPECIALIST</x:v>
      </x:c>
      <x:c r="I15" s="181" t="n">
        <x:v>0</x:v>
      </x:c>
      <x:c r="J15" s="181" t="n">
        <x:v>0</x:v>
      </x:c>
      <x:c r="K15" s="181" t="str">
        <x:v>MEDIUM</x:v>
      </x:c>
      <x:c r="L15" s="181" t="str">
        <x:v>MEDIUM</x:v>
      </x:c>
      <x:c r="M15" s="181" t="str">
        <x:v>MODERATE</x:v>
      </x:c>
      <x:c r="N15" s="181" t="str">
        <x:v>Rosy citrus-floral bridge that broadens the current citronellol/citronellal axis.</x:v>
      </x:c>
      <x:c r="O15" s="181" t="str">
        <x:v>Rose; geranium; citrus floral; soap floral</x:v>
      </x:c>
      <x:c r="P15" s="181" t="str">
        <x:v>Decide whether Citronellyl Acetate opens a non-redundant, physically preferred accord branch versus current stock.</x:v>
      </x:c>
      <x:c r="Q15" s="181" t="str">
        <x:v>SUPPLIER / EXACT STOCK REQUIRED</x:v>
      </x:c>
      <x:c r="R15" s="181" t="str">
        <x:v>CURRENT QUOTE REQUIRED</x:v>
      </x:c>
      <x:c r="S15" s="181" t="str">
        <x:v>NOT TESTED</x:v>
      </x:c>
      <x:c r="T15" s="181" t="str">
        <x:v>Program v3 purchase-intelligence rules + user-declared gaps</x:v>
      </x:c>
      <x:c r="U15" s="181" t="str">
        <x:v>https://www.perfumersworld.com/sitemap.php</x:v>
      </x:c>
      <x:c r="V15" s="181" t="str">
        <x:v>Ranking is an architectural and sensory-leverage hypothesis. It does not establish beauty, broad appeal, target identity, safety or stability.</x:v>
      </x:c>
    </x:row>
    <x:row r="16">
      <x:c r="A16" s="181" t="n">
        <x:v>29</x:v>
      </x:c>
      <x:c r="B16" s="181" t="str">
        <x:v>ARCHITECTURAL EXPANSION</x:v>
      </x:c>
      <x:c r="C16" s="181" t="n">
        <x:v>15</x:v>
      </x:c>
      <x:c r="D16" s="181" t="str">
        <x:v>P2</x:v>
      </x:c>
      <x:c r="E16" s="181" t="str">
        <x:v>Caryophyllene Acetate</x:v>
      </x:c>
      <x:c r="F16" s="181" t="str">
        <x:v>NOT IN V5 CURRENT INVENTORY</x:v>
      </x:c>
      <x:c r="G16" s="181" t="str">
        <x:v>SAMPLE / ACQUIRE</x:v>
      </x:c>
      <x:c r="H16" s="181" t="str">
        <x:v>USEFUL SPECIALIST</x:v>
      </x:c>
      <x:c r="I16" s="181" t="n">
        <x:v>0</x:v>
      </x:c>
      <x:c r="J16" s="181" t="n">
        <x:v>0</x:v>
      </x:c>
      <x:c r="K16" s="181" t="str">
        <x:v>MEDIUM</x:v>
      </x:c>
      <x:c r="L16" s="181" t="str">
        <x:v>MEDIUM</x:v>
      </x:c>
      <x:c r="M16" s="181" t="str">
        <x:v>HIGH</x:v>
      </x:c>
      <x:c r="N16" s="181" t="str">
        <x:v>Dry spicy-woody floral bridge for clove, carnation, woods and incense.</x:v>
      </x:c>
      <x:c r="O16" s="181" t="str">
        <x:v>Spice floral; carnation; tobacco; woods; incense</x:v>
      </x:c>
      <x:c r="P16" s="181" t="str">
        <x:v>Decide whether Caryophyllene Acetate opens a non-redundant, physically preferred accord branch versus current stock.</x:v>
      </x:c>
      <x:c r="Q16" s="181" t="str">
        <x:v>SUPPLIER / EXACT STOCK REQUIRED</x:v>
      </x:c>
      <x:c r="R16" s="181" t="str">
        <x:v>CURRENT QUOTE REQUIRED</x:v>
      </x:c>
      <x:c r="S16" s="181" t="str">
        <x:v>NOT TESTED</x:v>
      </x:c>
      <x:c r="T16" s="181" t="str">
        <x:v>Program v3 purchase-intelligence rules + user-declared gaps</x:v>
      </x:c>
      <x:c r="U16" s="181" t="str">
        <x:v>https://www.perfumersworld.com/sitemap.php</x:v>
      </x:c>
      <x:c r="V16" s="181" t="str">
        <x:v>Ranking is an architectural and sensory-leverage hypothesis. It does not establish beauty, broad appeal, target identity, safety or stability.</x:v>
      </x:c>
    </x:row>
    <x:row r="17">
      <x:c r="A17" s="181" t="n">
        <x:v>30</x:v>
      </x:c>
      <x:c r="B17" s="181" t="str">
        <x:v>ARCHITECTURAL EXPANSION</x:v>
      </x:c>
      <x:c r="C17" s="181" t="n">
        <x:v>16</x:v>
      </x:c>
      <x:c r="D17" s="181" t="str">
        <x:v>P2</x:v>
      </x:c>
      <x:c r="E17" s="181" t="str">
        <x:v>Ethyl Butyrate</x:v>
      </x:c>
      <x:c r="F17" s="181" t="str">
        <x:v>NOT IN V5 CURRENT INVENTORY</x:v>
      </x:c>
      <x:c r="G17" s="181" t="str">
        <x:v>SMALL SAMPLE + 1% STOCK</x:v>
      </x:c>
      <x:c r="H17" s="181" t="str">
        <x:v>USEFUL SPECIALIST</x:v>
      </x:c>
      <x:c r="I17" s="181" t="n">
        <x:v>0</x:v>
      </x:c>
      <x:c r="J17" s="181" t="n">
        <x:v>0</x:v>
      </x:c>
      <x:c r="K17" s="181" t="str">
        <x:v>HIGH</x:v>
      </x:c>
      <x:c r="L17" s="181" t="str">
        <x:v>MEDIUM</x:v>
      </x:c>
      <x:c r="M17" s="181" t="str">
        <x:v>HIGH</x:v>
      </x:c>
      <x:c r="N17" s="181" t="str">
        <x:v>Explosive juicy pineapple-orange top used as a building block rather than a complete fruit note.</x:v>
      </x:c>
      <x:c r="O17" s="181" t="str">
        <x:v>Tropical fruit; citrus fruit; rum; berry lift</x:v>
      </x:c>
      <x:c r="P17" s="181" t="str">
        <x:v>Decide whether Ethyl Butyrate opens a non-redundant, physically preferred accord branch versus current stock.</x:v>
      </x:c>
      <x:c r="Q17" s="181" t="str">
        <x:v>SUPPLIER / EXACT STOCK REQUIRED</x:v>
      </x:c>
      <x:c r="R17" s="181" t="str">
        <x:v>CURRENT QUOTE REQUIRED</x:v>
      </x:c>
      <x:c r="S17" s="181" t="str">
        <x:v>NOT TESTED</x:v>
      </x:c>
      <x:c r="T17" s="181" t="str">
        <x:v>Program v3 purchase-intelligence rules + user-declared gaps</x:v>
      </x:c>
      <x:c r="U17" s="181" t="str">
        <x:v>https://www.perfumersworld.com/sitemap.php</x:v>
      </x:c>
      <x:c r="V17" s="181" t="str">
        <x:v>Ranking is an architectural and sensory-leverage hypothesis. It does not establish beauty, broad appeal, target identity, safety or stability.</x:v>
      </x:c>
    </x:row>
    <x:row r="18">
      <x:c r="A18" s="181" t="n">
        <x:v>31</x:v>
      </x:c>
      <x:c r="B18" s="181" t="str">
        <x:v>ARCHITECTURAL EXPANSION</x:v>
      </x:c>
      <x:c r="C18" s="181" t="n">
        <x:v>17</x:v>
      </x:c>
      <x:c r="D18" s="181" t="str">
        <x:v>P2</x:v>
      </x:c>
      <x:c r="E18" s="181" t="str">
        <x:v>Isoamyl Acetate</x:v>
      </x:c>
      <x:c r="F18" s="181" t="str">
        <x:v>NOT IN V5 CURRENT INVENTORY</x:v>
      </x:c>
      <x:c r="G18" s="181" t="str">
        <x:v>SMALL SAMPLE + 1% STOCK</x:v>
      </x:c>
      <x:c r="H18" s="181" t="str">
        <x:v>USEFUL SPECIALIST</x:v>
      </x:c>
      <x:c r="I18" s="181" t="n">
        <x:v>0</x:v>
      </x:c>
      <x:c r="J18" s="181" t="n">
        <x:v>0</x:v>
      </x:c>
      <x:c r="K18" s="181" t="str">
        <x:v>MEDIUM</x:v>
      </x:c>
      <x:c r="L18" s="181" t="str">
        <x:v>MEDIUM</x:v>
      </x:c>
      <x:c r="M18" s="181" t="str">
        <x:v>HIGH</x:v>
      </x:c>
      <x:c r="N18" s="181" t="str">
        <x:v>Banana/pear fruit body and creamy-fruity modifier at controlled trace levels.</x:v>
      </x:c>
      <x:c r="O18" s="181" t="str">
        <x:v>Banana; pear; tropical; white floral fruit</x:v>
      </x:c>
      <x:c r="P18" s="181" t="str">
        <x:v>Decide whether Isoamyl Acetate opens a non-redundant, physically preferred accord branch versus current stock.</x:v>
      </x:c>
      <x:c r="Q18" s="181" t="str">
        <x:v>SUPPLIER / EXACT STOCK REQUIRED</x:v>
      </x:c>
      <x:c r="R18" s="181" t="str">
        <x:v>CURRENT QUOTE REQUIRED</x:v>
      </x:c>
      <x:c r="S18" s="181" t="str">
        <x:v>NOT TESTED</x:v>
      </x:c>
      <x:c r="T18" s="181" t="str">
        <x:v>Program v3 purchase-intelligence rules + user-declared gaps</x:v>
      </x:c>
      <x:c r="U18" s="181" t="str">
        <x:v>https://www.perfumersworld.com/sitemap.php</x:v>
      </x:c>
      <x:c r="V18" s="181" t="str">
        <x:v>Ranking is an architectural and sensory-leverage hypothesis. It does not establish beauty, broad appeal, target identity, safety or stability.</x:v>
      </x:c>
    </x:row>
    <x:row r="19">
      <x:c r="A19" s="181" t="n">
        <x:v>32</x:v>
      </x:c>
      <x:c r="B19" s="181" t="str">
        <x:v>ARCHITECTURAL EXPANSION</x:v>
      </x:c>
      <x:c r="C19" s="181" t="n">
        <x:v>18</x:v>
      </x:c>
      <x:c r="D19" s="181" t="str">
        <x:v>P2</x:v>
      </x:c>
      <x:c r="E19" s="181" t="str">
        <x:v>Ethyl Acetate</x:v>
      </x:c>
      <x:c r="F19" s="181" t="str">
        <x:v>NOT IN V5 CURRENT INVENTORY</x:v>
      </x:c>
      <x:c r="G19" s="181" t="str">
        <x:v>SMALL SAMPLE + CONTROLLED STORAGE</x:v>
      </x:c>
      <x:c r="H19" s="181" t="str">
        <x:v>USEFUL SPECIALIST</x:v>
      </x:c>
      <x:c r="I19" s="181" t="n">
        <x:v>0</x:v>
      </x:c>
      <x:c r="J19" s="181" t="n">
        <x:v>0</x:v>
      </x:c>
      <x:c r="K19" s="181" t="str">
        <x:v>MEDIUM</x:v>
      </x:c>
      <x:c r="L19" s="181" t="str">
        <x:v>MEDIUM</x:v>
      </x:c>
      <x:c r="M19" s="181" t="str">
        <x:v>HIGH</x:v>
      </x:c>
      <x:c r="N19" s="181" t="str">
        <x:v>Very volatile fruity-solventy sparkle and rum/fruit lift; easy to overdose or evaporate.</x:v>
      </x:c>
      <x:c r="O19" s="181" t="str">
        <x:v>Rum; cognac; fruit top; diffusion studies</x:v>
      </x:c>
      <x:c r="P19" s="181" t="str">
        <x:v>Decide whether Ethyl Acetate opens a non-redundant, physically preferred accord branch versus current stock.</x:v>
      </x:c>
      <x:c r="Q19" s="181" t="str">
        <x:v>SUPPLIER / EXACT STOCK REQUIRED</x:v>
      </x:c>
      <x:c r="R19" s="181" t="str">
        <x:v>CURRENT QUOTE REQUIRED</x:v>
      </x:c>
      <x:c r="S19" s="181" t="str">
        <x:v>NOT TESTED</x:v>
      </x:c>
      <x:c r="T19" s="181" t="str">
        <x:v>Program v3 purchase-intelligence rules + user-declared gaps</x:v>
      </x:c>
      <x:c r="U19" s="181" t="str">
        <x:v>https://www.perfumersworld.com/sitemap.php</x:v>
      </x:c>
      <x:c r="V19" s="181" t="str">
        <x:v>Ranking is an architectural and sensory-leverage hypothesis. It does not establish beauty, broad appeal, target identity, safety or stability.</x:v>
      </x:c>
    </x:row>
    <x:row r="20">
      <x:c r="A20" s="181" t="n">
        <x:v>33</x:v>
      </x:c>
      <x:c r="B20" s="181" t="str">
        <x:v>ARCHITECTURAL EXPANSION</x:v>
      </x:c>
      <x:c r="C20" s="181" t="n">
        <x:v>19</x:v>
      </x:c>
      <x:c r="D20" s="181" t="str">
        <x:v>P2</x:v>
      </x:c>
      <x:c r="E20" s="181" t="str">
        <x:v>Butyl Butyrate</x:v>
      </x:c>
      <x:c r="F20" s="181" t="str">
        <x:v>NOT IN V5 CURRENT INVENTORY</x:v>
      </x:c>
      <x:c r="G20" s="181" t="str">
        <x:v>SMALL SAMPLE + 1% STOCK</x:v>
      </x:c>
      <x:c r="H20" s="181" t="str">
        <x:v>USEFUL SPECIALIST</x:v>
      </x:c>
      <x:c r="I20" s="181" t="n">
        <x:v>0</x:v>
      </x:c>
      <x:c r="J20" s="181" t="n">
        <x:v>0</x:v>
      </x:c>
      <x:c r="K20" s="181" t="str">
        <x:v>MEDIUM</x:v>
      </x:c>
      <x:c r="L20" s="181" t="str">
        <x:v>LOW</x:v>
      </x:c>
      <x:c r="M20" s="181" t="str">
        <x:v>HIGH</x:v>
      </x:c>
      <x:c r="N20" s="181" t="str">
        <x:v>Juicy pineapple-fruit body that broadens the missing classical ester set.</x:v>
      </x:c>
      <x:c r="O20" s="181" t="str">
        <x:v>Pineapple; tropical; fruit floral</x:v>
      </x:c>
      <x:c r="P20" s="181" t="str">
        <x:v>Decide whether Butyl Butyrate opens a non-redundant, physically preferred accord branch versus current stock.</x:v>
      </x:c>
      <x:c r="Q20" s="181" t="str">
        <x:v>SUPPLIER / EXACT STOCK REQUIRED</x:v>
      </x:c>
      <x:c r="R20" s="181" t="str">
        <x:v>CURRENT QUOTE REQUIRED</x:v>
      </x:c>
      <x:c r="S20" s="181" t="str">
        <x:v>NOT TESTED</x:v>
      </x:c>
      <x:c r="T20" s="181" t="str">
        <x:v>Program v3 purchase-intelligence rules + user-declared gaps</x:v>
      </x:c>
      <x:c r="U20" s="181" t="str">
        <x:v>https://www.perfumersworld.com/sitemap.php</x:v>
      </x:c>
      <x:c r="V20" s="181" t="str">
        <x:v>Ranking is an architectural and sensory-leverage hypothesis. It does not establish beauty, broad appeal, target identity, safety or stability.</x:v>
      </x:c>
    </x:row>
    <x:row r="21">
      <x:c r="A21" s="181" t="n">
        <x:v>34</x:v>
      </x:c>
      <x:c r="B21" s="181" t="str">
        <x:v>ARCHITECTURAL EXPANSION</x:v>
      </x:c>
      <x:c r="C21" s="181" t="n">
        <x:v>20</x:v>
      </x:c>
      <x:c r="D21" s="181" t="str">
        <x:v>P2</x:v>
      </x:c>
      <x:c r="E21" s="181" t="str">
        <x:v>Ethyl Acetoacetate</x:v>
      </x:c>
      <x:c r="F21" s="181" t="str">
        <x:v>NOT IN V5 CURRENT INVENTORY</x:v>
      </x:c>
      <x:c r="G21" s="181" t="str">
        <x:v>SMALL SAMPLE</x:v>
      </x:c>
      <x:c r="H21" s="181" t="str">
        <x:v>USEFUL SPECIALIST</x:v>
      </x:c>
      <x:c r="I21" s="181" t="n">
        <x:v>0</x:v>
      </x:c>
      <x:c r="J21" s="181" t="n">
        <x:v>0</x:v>
      </x:c>
      <x:c r="K21" s="181" t="str">
        <x:v>MEDIUM</x:v>
      </x:c>
      <x:c r="L21" s="181" t="str">
        <x:v>LOW</x:v>
      </x:c>
      <x:c r="M21" s="181" t="str">
        <x:v>MEDIUM</x:v>
      </x:c>
      <x:c r="N21" s="181" t="str">
        <x:v>Fruity, wine-like and rum-supporting bridge for reconstructed fruit and beverage accords.</x:v>
      </x:c>
      <x:c r="O21" s="181" t="str">
        <x:v>Rum; wine; berry; fruit modifier</x:v>
      </x:c>
      <x:c r="P21" s="181" t="str">
        <x:v>Decide whether Ethyl Acetoacetate opens a non-redundant, physically preferred accord branch versus current stock.</x:v>
      </x:c>
      <x:c r="Q21" s="181" t="str">
        <x:v>SUPPLIER / EXACT STOCK REQUIRED</x:v>
      </x:c>
      <x:c r="R21" s="181" t="str">
        <x:v>CURRENT QUOTE REQUIRED</x:v>
      </x:c>
      <x:c r="S21" s="181" t="str">
        <x:v>NOT TESTED</x:v>
      </x:c>
      <x:c r="T21" s="181" t="str">
        <x:v>Program v3 purchase-intelligence rules + user-declared gaps</x:v>
      </x:c>
      <x:c r="U21" s="181" t="str">
        <x:v>https://www.perfumersworld.com/sitemap.php</x:v>
      </x:c>
      <x:c r="V21" s="181" t="str">
        <x:v>Ranking is an architectural and sensory-leverage hypothesis. It does not establish beauty, broad appeal, target identity, safety or stability.</x:v>
      </x:c>
    </x:row>
    <x:row r="22">
      <x:c r="A22" s="182" t="n">
        <x:v>35</x:v>
      </x:c>
      <x:c r="B22" s="182" t="str">
        <x:v>ARCHITECTURAL EXPANSION</x:v>
      </x:c>
      <x:c r="C22" s="182" t="n">
        <x:v>21</x:v>
      </x:c>
      <x:c r="D22" s="182" t="str">
        <x:v>P2</x:v>
      </x:c>
      <x:c r="E22" s="182" t="str">
        <x:v>Neobutenone Alpha</x:v>
      </x:c>
      <x:c r="F22" s="182" t="str">
        <x:v>NOT IN V5 CURRENT INVENTORY</x:v>
      </x:c>
      <x:c r="G22" s="182" t="str">
        <x:v>SUPPLIER LOCK + TINY SAMPLE</x:v>
      </x:c>
      <x:c r="H22" s="182" t="str">
        <x:v>USEFUL SPECIALIST</x:v>
      </x:c>
      <x:c r="I22" s="182" t="n">
        <x:v>0</x:v>
      </x:c>
      <x:c r="J22" s="182" t="n">
        <x:v>0</x:v>
      </x:c>
      <x:c r="K22" s="182" t="str">
        <x:v>HIGH</x:v>
      </x:c>
      <x:c r="L22" s="182" t="str">
        <x:v>LOW</x:v>
      </x:c>
      <x:c r="M22" s="182" t="str">
        <x:v>CRITICAL</x:v>
      </x:c>
      <x:c r="N22" s="182" t="str">
        <x:v>High-impact green-fruity trace modifier for modern top-note complexity.</x:v>
      </x:c>
      <x:c r="O22" s="182" t="str">
        <x:v>Green fruit; cassis; tropical; floral top</x:v>
      </x:c>
      <x:c r="P22" s="182" t="str">
        <x:v>Decide whether Neobutenone Alpha opens a non-redundant, physically preferred accord branch versus current stock.</x:v>
      </x:c>
      <x:c r="Q22" s="182" t="str">
        <x:v>SUPPLIER / EXACT STOCK REQUIRED</x:v>
      </x:c>
      <x:c r="R22" s="182" t="str">
        <x:v>CURRENT QUOTE REQUIRED</x:v>
      </x:c>
      <x:c r="S22" s="182" t="str">
        <x:v>NOT TESTED</x:v>
      </x:c>
      <x:c r="T22" s="182" t="str">
        <x:v>Program v3 purchase-intelligence rules + user-declared gaps</x:v>
      </x:c>
      <x:c r="U22" s="182" t="str"/>
      <x:c r="V22" s="182" t="str">
        <x:v>Ranking is an architectural and sensory-leverage hypothesis. It does not establish beauty, broad appeal, target identity, safety or stability.</x:v>
      </x:c>
    </x:row>
  </x:sheetData>
  <x:conditionalFormatting sqref="D2:D22">
    <x:cfRule type="expression" dxfId="41" priority="1">
      <x:formula>LEFT(D2,2)="P0"</x:formula>
    </x:cfRule>
    <x:cfRule type="expression" dxfId="42" priority="2">
      <x:formula>D2="P1"</x:formula>
    </x:cfRule>
  </x:conditionalFormatting>
  <x:conditionalFormatting sqref="I2:I22">
    <x:cfRule type="dataBar" priority="3">
      <x:dataBar>
        <x:cfvo type="min"/>
        <x:cfvo type="max"/>
        <x:color rgb="FFA02B93"/>
      </x:dataBar>
      <x:extLst>
        <x:ext xmlns:x14="http://schemas.microsoft.com/office/spreadsheetml/2009/9/main" uri="{B025F937-C7B1-47D3-B67F-A62EFF666E3E}">
          <x14:id>{DD5F3746-3AE5-EB33-FB63-70A95AF9D887}</x14:id>
        </x:ext>
      </x:extLst>
    </x:cfRule>
  </x:conditionalFormatting>
  <x:conditionalFormatting sqref="G2:G22">
    <x:cfRule type="expression" dxfId="43" priority="4">
      <x:formula>ISNUMBER(SEARCH("VERIFY",G2))</x:formula>
    </x:cfRule>
  </x:conditionalFormatting>
  <x:pageMargins left="0.7" right="0.7" top="0.75" bottom="0.75" header="0.3" footer="0.3"/>
  <x:tableParts count="1">
    <x:tablePart xmlns:r="http://schemas.openxmlformats.org/officeDocument/2006/relationships" r:id="Rcb296decd9954ee8"/>
  </x:tableParts>
  <x:extLst>
    <x:ext xmlns:x14="http://schemas.microsoft.com/office/spreadsheetml/2009/9/main" xmlns:xm="http://schemas.microsoft.com/office/excel/2006/main" uri="{78C0D931-6437-407d-A8EE-F0AAD7539E65}">
      <x14:conditionalFormattings>
        <x14:conditionalFormatting>
          <x14:cfRule type="dataBar" priority="3" id="{DD5F3746-3AE5-EB33-FB63-70A95AF9D887}">
            <x14:dataBar gradient="1">
              <x14:cfvo type="min"/>
              <x14:cfvo type="max"/>
              <x14:fillColor rgb="FFA02B93"/>
            </x14:dataBar>
          </x14:cfRule>
          <xm:sqref>I2:I22</xm:sqref>
        </x14:conditionalFormatting>
      </x14:conditionalFormattings>
    </x:ext>
  </x:extLst>
</x:worksheet>
</file>

<file path=xl/worksheets/sheet16.xml><?xml version="1.0" encoding="utf-8"?>
<x:worksheet xmlns:x="http://schemas.openxmlformats.org/spreadsheetml/2006/main">
  <x:sheetFormatPr defaultRowHeight="15"/>
  <x:cols>
    <x:col min="1" max="1" width="11" hidden="0" customWidth="1"/>
    <x:col min="2" max="2" width="31" hidden="0" customWidth="1"/>
    <x:col min="3" max="3" width="33" hidden="0" customWidth="1"/>
    <x:col min="4" max="4" width="22" hidden="0" customWidth="1"/>
    <x:col min="5" max="5" width="45" hidden="0" customWidth="1"/>
    <x:col min="6" max="6" width="43" hidden="0" customWidth="1"/>
    <x:col min="7" max="7" width="45" hidden="0" customWidth="1"/>
    <x:col min="8" max="8" width="24" hidden="0" customWidth="1"/>
    <x:col min="9" max="9" width="36" hidden="0" customWidth="1"/>
  </x:cols>
  <x:sheetData>
    <x:row r="1" ht="34" customHeight="1">
      <x:c r="A1" s="179" t="str">
        <x:v>action_rank</x:v>
      </x:c>
      <x:c r="B1" s="179" t="str">
        <x:v>material_or_stock</x:v>
      </x:c>
      <x:c r="C1" s="179" t="str">
        <x:v>current_state</x:v>
      </x:c>
      <x:c r="D1" s="179" t="str">
        <x:v>action_type</x:v>
      </x:c>
      <x:c r="E1" s="179" t="str">
        <x:v>recommended_action</x:v>
      </x:c>
      <x:c r="F1" s="179" t="str">
        <x:v>why_not_buy_now</x:v>
      </x:c>
      <x:c r="G1" s="179" t="str">
        <x:v>decision_enabled</x:v>
      </x:c>
      <x:c r="H1" s="179" t="str">
        <x:v>physical_execution_state</x:v>
      </x:c>
      <x:c r="I1" s="179" t="str">
        <x:v>source_basis</x:v>
      </x:c>
    </x:row>
    <x:row r="2">
      <x:c r="A2" s="181" t="n">
        <x:v>1</x:v>
      </x:c>
      <x:c r="B2" s="181" t="str">
        <x:v>Ambrettolide 10% in DPG</x:v>
      </x:c>
      <x:c r="C2" s="181" t="str">
        <x:v>PLANNED ACQUISITION • DESIGN-AVAILABLE</x:v>
      </x:c>
      <x:c r="D2" s="181" t="str">
        <x:v>PLANNED PURCHASE</x:v>
      </x:c>
      <x:c r="E2" s="181" t="str">
        <x:v>Use computationally now; record receipt and ExactStockRef before physical compounding.</x:v>
      </x:c>
      <x:c r="F2" s="181" t="str">
        <x:v>Already committed to purchase, so it is excluded from the missing-material rank.</x:v>
      </x:c>
      <x:c r="G2" s="181" t="str">
        <x:v>Open all computational accord and screen branches without pretending a physical bottle has arrived.</x:v>
      </x:c>
      <x:c r="H2" s="181" t="str">
        <x:v>PROCUREMENT PENDING</x:v>
      </x:c>
      <x:c r="I2" s="181" t="str">
        <x:v>User instruction, 2026-08-07</x:v>
      </x:c>
    </x:row>
    <x:row r="3">
      <x:c r="A3" s="181" t="n">
        <x:v>2</x:v>
      </x:c>
      <x:c r="B3" s="181" t="str">
        <x:v>Alpha Irone 10% working stock</x:v>
      </x:c>
      <x:c r="C3" s="181" t="str">
        <x:v>PARENT 30% STOCK OWNED</x:v>
      </x:c>
      <x:c r="D3" s="181" t="str">
        <x:v>STOCK PREPARATION</x:v>
      </x:c>
      <x:c r="E3" s="181" t="str">
        <x:v>Prepare a verified 10% stock from the owned 30% parent when required.</x:v>
      </x:c>
      <x:c r="F3" s="181" t="str">
        <x:v>The molecule is not missing; only the executable working strength is missing.</x:v>
      </x:c>
      <x:c r="G3" s="181" t="str">
        <x:v>Run exact low-dose iris/orrris screens without purchasing duplicate material.</x:v>
      </x:c>
      <x:c r="H3" s="181" t="str">
        <x:v>NOT PREPARED</x:v>
      </x:c>
      <x:c r="I3" s="181" t="str">
        <x:v>Kenny_Current_Perfumery_Inventory_Master_Aug2026_v5.xlsx</x:v>
      </x:c>
    </x:row>
    <x:row r="4">
      <x:c r="A4" s="181" t="n">
        <x:v>3</x:v>
      </x:c>
      <x:c r="B4" s="181" t="str">
        <x:v>Fresh homogeneous Coumarin 20%</x:v>
      </x:c>
      <x:c r="C4" s="181" t="str">
        <x:v>CURRENT STOCK HETEROGENEITY / SOLUBILITY RISK</x:v>
      </x:c>
      <x:c r="D4" s="181" t="str">
        <x:v>STOCK PREPARATION</x:v>
      </x:c>
      <x:c r="E4" s="181" t="str">
        <x:v>Prepare a fresh homogeneous batch with carrier, mass, temperature and storage recorded.</x:v>
      </x:c>
      <x:c r="F4" s="181" t="str">
        <x:v>A purchase is not automatically needed if verified parent material is available.</x:v>
      </x:c>
      <x:c r="G4" s="181" t="str">
        <x:v>Separate true coumarin dose effects from crystallization or sampling error.</x:v>
      </x:c>
      <x:c r="H4" s="181" t="str">
        <x:v>NOT PREPARED</x:v>
      </x:c>
      <x:c r="I4" s="181" t="str">
        <x:v>Program v3 material-behavior hold</x:v>
      </x:c>
    </x:row>
    <x:row r="5">
      <x:c r="A5" s="182" t="n">
        <x:v>4</x:v>
      </x:c>
      <x:c r="B5" s="182" t="str">
        <x:v>BHT antioxidant</x:v>
      </x:c>
      <x:c r="C5" s="182" t="str">
        <x:v>NOT IN CURRENT INVENTORY</x:v>
      </x:c>
      <x:c r="D5" s="182" t="str">
        <x:v>TECHNICAL ENABLER</x:v>
      </x:c>
      <x:c r="E5" s="182" t="str">
        <x:v>Consider after current supplier and safety documents are locked.</x:v>
      </x:c>
      <x:c r="F5" s="182" t="str">
        <x:v>It protects oxidation-prone tops but is not an odor or hedonic material.</x:v>
      </x:c>
      <x:c r="G5" s="182" t="str">
        <x:v>Run cleaner citrus/aldehyde aging studies without confusing oxidation control with odor quality.</x:v>
      </x:c>
      <x:c r="H5" s="182" t="str">
        <x:v>NOT ACQUIRED</x:v>
      </x:c>
      <x:c r="I5" s="182" t="str">
        <x:v>https://www.perfumersworld.com/sitemap.php</x:v>
      </x:c>
    </x:row>
  </x:sheetData>
  <x:pageMargins left="0.7" right="0.7" top="0.75" bottom="0.75" header="0.3" footer="0.3"/>
  <x:tableParts count="1">
    <x:tablePart xmlns:r="http://schemas.openxmlformats.org/officeDocument/2006/relationships" r:id="Rbc150aad93c24ba0"/>
  </x:tableParts>
</x:worksheet>
</file>

<file path=xl/worksheets/sheet17.xml><?xml version="1.0" encoding="utf-8"?>
<x:worksheet xmlns:x="http://schemas.openxmlformats.org/spreadsheetml/2006/main">
  <x:sheetFormatPr defaultRowHeight="15"/>
  <x:cols>
    <x:col min="1" max="1" width="29" hidden="0" customWidth="1"/>
    <x:col min="2" max="2" width="38" hidden="0" customWidth="1"/>
    <x:col min="3" max="3" width="38" hidden="0" customWidth="1"/>
    <x:col min="4" max="4" width="43" hidden="0" customWidth="1"/>
    <x:col min="5" max="5" width="43" hidden="0" customWidth="1"/>
    <x:col min="6" max="6" width="44" hidden="0" customWidth="1"/>
  </x:cols>
  <x:sheetData>
    <x:row r="1" ht="34" customHeight="1">
      <x:c r="A1" s="179" t="str">
        <x:v>accord_system</x:v>
      </x:c>
      <x:c r="B1" s="179" t="str">
        <x:v>highest_impact_missing_or_planned</x:v>
      </x:c>
      <x:c r="C1" s="179" t="str">
        <x:v>secondary_candidates</x:v>
      </x:c>
      <x:c r="D1" s="179" t="str">
        <x:v>current_strengths</x:v>
      </x:c>
      <x:c r="E1" s="179" t="str">
        <x:v>main_failure_prevented</x:v>
      </x:c>
      <x:c r="F1" s="179" t="str">
        <x:v>first_comparison</x:v>
      </x:c>
    </x:row>
    <x:row r="2">
      <x:c r="A2" s="181" t="str">
        <x:v>Modern clean musk / skin</x:v>
      </x:c>
      <x:c r="B2" s="181" t="str">
        <x:v>Ethylene Brassylate; Globanone 50%; Ambrettolide planned</x:v>
      </x:c>
      <x:c r="C2" s="181" t="str">
        <x:v>Muscenone Delta</x:v>
      </x:c>
      <x:c r="D2" s="181" t="str">
        <x:v>Habanolide; Zenolide; Romandolide; Exaltolide; Macrolide</x:v>
      </x:c>
      <x:c r="E2" s="181" t="str">
        <x:v>Thin musk skeleton, laundry monoculture, or one-receptor dependence</x:v>
      </x:c>
      <x:c r="F2" s="181" t="str">
        <x:v>Current musk base versus +Ethylene Brassylate, then bounded Muscenone sample</x:v>
      </x:c>
    </x:row>
    <x:row r="3">
      <x:c r="A3" s="181" t="str">
        <x:v>Velvet wood / amber</x:v>
      </x:c>
      <x:c r="B3" s="181" t="str">
        <x:v>Clearwood; Vetiveryl Acetate; Amber Core; Amber Xtreme</x:v>
      </x:c>
      <x:c r="C3" s="181" t="str">
        <x:v>Bacdanol</x:v>
      </x:c>
      <x:c r="D3" s="181" t="str">
        <x:v>Iso E Super; Cashmeran; Cedramber; Sandalore; Polysantol; Ebanol</x:v>
      </x:c>
      <x:c r="E3" s="181" t="str">
        <x:v>Dry generic wall, hollow wood cloud, or blunt amber pressure</x:v>
      </x:c>
      <x:c r="F3" s="181" t="str">
        <x:v>Current wood chassis versus one-variable additions</x:v>
      </x:c>
    </x:row>
    <x:row r="4">
      <x:c r="A4" s="181" t="str">
        <x:v>Iris / violet / orris</x:v>
      </x:c>
      <x:c r="B4" s="181" t="str">
        <x:v>Methyl Ionone Gamma Coeur; Dihydro Alpha Ionone</x:v>
      </x:c>
      <x:c r="C4" s="181" t="str">
        <x:v>Liffarome; prepared Alpha Irone 10%</x:v>
      </x:c>
      <x:c r="D4" s="181" t="str">
        <x:v>Alpha Irone 30%; Orivone; Ultralia; AIMI; alpha/beta ionones</x:v>
      </x:c>
      <x:c r="E4" s="181" t="str">
        <x:v>Lipstick monotony, root mud, green iris, or overly simple ionone block</x:v>
      </x:c>
      <x:c r="F4" s="181" t="str">
        <x:v>Parent iris module versus one new geometry at equal total active load</x:v>
      </x:c>
    </x:row>
    <x:row r="5">
      <x:c r="A5" s="181" t="str">
        <x:v>Floral radiance / white floral</x:v>
      </x:c>
      <x:c r="B5" s="181" t="str">
        <x:v>Hedione High Cis; Ethyl Linalool; Jasmonyl</x:v>
      </x:c>
      <x:c r="C5" s="181" t="str">
        <x:v>Orange Flower Absolute</x:v>
      </x:c>
      <x:c r="D5" s="181" t="str">
        <x:v>Hedione; Florol; Nympheal; Mayol; Lilyreal ND; naturals</x:v>
      </x:c>
      <x:c r="E5" s="181" t="str">
        <x:v>Generic floral air, detergent bloom, or low-texture white floral</x:v>
      </x:c>
      <x:c r="F5" s="181" t="str">
        <x:v>Standard Hedione control versus High-Cis and Jasmonyl branches</x:v>
      </x:c>
    </x:row>
    <x:row r="6">
      <x:c r="A6" s="181" t="str">
        <x:v>Green floral / fruit handoff</x:v>
      </x:c>
      <x:c r="B6" s="181" t="str">
        <x:v>Liffarome; cis-3-Hexenyl Salicylate</x:v>
      </x:c>
      <x:c r="C6" s="181" t="str">
        <x:v>Geranyl/Neryl/Citronellyl Acetates; Neobutenone Alpha</x:v>
      </x:c>
      <x:c r="D6" s="181" t="str">
        <x:v>Leafovert neat; cis-3-Hexenol 1%; Verdox; Triplal</x:v>
      </x:c>
      <x:c r="E6" s="181" t="str">
        <x:v>Cucumber, lawn clipping, shampoo fruit, or disconnected top-to-heart</x:v>
      </x:c>
      <x:c r="F6" s="181" t="str">
        <x:v>Leaf-floral control versus one trace bridge at a time</x:v>
      </x:c>
    </x:row>
    <x:row r="7">
      <x:c r="A7" s="181" t="str">
        <x:v>Citrus / aromatic top</x:v>
      </x:c>
      <x:c r="B7" s="181" t="str">
        <x:v>Red Mandarin EO; Cedrat FCF</x:v>
      </x:c>
      <x:c r="C7" s="181" t="str">
        <x:v>Pink Pepper; Nutmeg; Ethyl Linalool</x:v>
      </x:c>
      <x:c r="D7" s="181" t="str">
        <x:v>Bergamot; lemon; grapefruit; blood orange; lime; aldehydes</x:v>
      </x:c>
      <x:c r="E7" s="181" t="str">
        <x:v>Flat citrus blend, candy peel, short life, or cologne cliché</x:v>
      </x:c>
      <x:c r="F7" s="181" t="str">
        <x:v>Dense 15-second to 2-hour top-note profile</x:v>
      </x:c>
    </x:row>
    <x:row r="8">
      <x:c r="A8" s="181" t="str">
        <x:v>Resin / smoke / leather</x:v>
      </x:c>
      <x:c r="B8" s="181" t="str">
        <x:v>Guaiacwood EO; Myrrh Resinoid</x:v>
      </x:c>
      <x:c r="C8" s="181" t="str">
        <x:v>Cedarwood Atlas; Oakwood CO2</x:v>
      </x:c>
      <x:c r="D8" s="181" t="str">
        <x:v>Olibanum; storax; benzoin; labdanum; guaiacol; castoreum</x:v>
      </x:c>
      <x:c r="E8" s="181" t="str">
        <x:v>Sticky balsam, burnt rubber, candle smoke, or featureless dark base</x:v>
      </x:c>
      <x:c r="F8" s="181" t="str">
        <x:v>Natural-texture addition against current synthetic/resinoid control</x:v>
      </x:c>
    </x:row>
    <x:row r="9">
      <x:c r="A9" s="182" t="str">
        <x:v>Fruit reconstruction</x:v>
      </x:c>
      <x:c r="B9" s="182" t="str">
        <x:v>Ethyl Butyrate; Isoamyl Acetate; Ethyl Acetate</x:v>
      </x:c>
      <x:c r="C9" s="182" t="str">
        <x:v>Butyl Butyrate; Ethyl Acetoacetate</x:v>
      </x:c>
      <x:c r="D9" s="182" t="str">
        <x:v>Hexyl acetate; E2MB; AAG; lactones; raspberry ketone</x:v>
      </x:c>
      <x:c r="E9" s="182" t="str">
        <x:v>One-ester shampoo fruit, candy collapse, or missing juice-to-flesh layering</x:v>
      </x:c>
      <x:c r="F9" s="182" t="str">
        <x:v>Single ester ladders before any multi-ester accord</x:v>
      </x:c>
    </x:row>
  </x:sheetData>
  <x:pageMargins left="0.7" right="0.7" top="0.75" bottom="0.75" header="0.3" footer="0.3"/>
  <x:tableParts count="1">
    <x:tablePart xmlns:r="http://schemas.openxmlformats.org/officeDocument/2006/relationships" r:id="Rb58637c193dd4fec"/>
  </x:tableParts>
</x:worksheet>
</file>

<file path=xl/worksheets/sheet18.xml><?xml version="1.0" encoding="utf-8"?>
<x:worksheet xmlns:x="http://schemas.openxmlformats.org/spreadsheetml/2006/main">
  <x:sheetFormatPr defaultRowHeight="15"/>
  <x:cols>
    <x:col min="1" max="1" width="10" hidden="0" customWidth="1"/>
    <x:col min="2" max="2" width="31" hidden="0" customWidth="1"/>
    <x:col min="3" max="3" width="86" hidden="0" customWidth="1"/>
  </x:cols>
  <x:sheetData>
    <x:row r="1" ht="34" customHeight="1">
      <x:c r="A1" s="179" t="str">
        <x:v>order</x:v>
      </x:c>
      <x:c r="B1" s="179" t="str">
        <x:v>rule</x:v>
      </x:c>
      <x:c r="C1" s="179" t="str">
        <x:v>implementation</x:v>
      </x:c>
    </x:row>
    <x:row r="2">
      <x:c r="A2" s="181" t="n">
        <x:v>1</x:v>
      </x:c>
      <x:c r="B2" s="181" t="str">
        <x:v>No beauty computation</x:v>
      </x:c>
      <x:c r="C2" s="181" t="str">
        <x:v>Formula counts, prices, supplier claims and material prestige may not become a hedonic score.</x:v>
      </x:c>
    </x:row>
    <x:row r="3">
      <x:c r="A3" s="181" t="n">
        <x:v>2</x:v>
      </x:c>
      <x:c r="B3" s="181" t="str">
        <x:v>Direct gaps first</x:v>
      </x:c>
      <x:c r="C3" s="181" t="str">
        <x:v>A verified current formula gap outranks an interesting new material when it blocks many exact rows and has high substitution-collapse risk.</x:v>
      </x:c>
    </x:row>
    <x:row r="4">
      <x:c r="A4" s="181" t="n">
        <x:v>3</x:v>
      </x:c>
      <x:c r="B4" s="181" t="str">
        <x:v>Authority is noncompensatory</x:v>
      </x:c>
      <x:c r="C4" s="181" t="str">
        <x:v>A possible duplicate bottle or unresolved exact stock receives VERIFY BEFORE BUY even when its potential impact is high.</x:v>
      </x:c>
    </x:row>
    <x:row r="5">
      <x:c r="A5" s="181" t="n">
        <x:v>4</x:v>
      </x:c>
      <x:c r="B5" s="181" t="str">
        <x:v>Architectural expansion test</x:v>
      </x:c>
      <x:c r="C5" s="181" t="str">
        <x:v>A new material ranks highly only when it opens several independent functions, interfaces or accord families beyond current stock.</x:v>
      </x:c>
    </x:row>
    <x:row r="6">
      <x:c r="A6" s="181" t="n">
        <x:v>5</x:v>
      </x:c>
      <x:c r="B6" s="181" t="str">
        <x:v>Interest is insufficient</x:v>
      </x:c>
      <x:c r="C6" s="181" t="str">
        <x:v>Novelty alone does not justify purchase. Every row states the decision enabled by acquisition or testing.</x:v>
      </x:c>
    </x:row>
    <x:row r="7">
      <x:c r="A7" s="181" t="n">
        <x:v>6</x:v>
      </x:c>
      <x:c r="B7" s="181" t="str">
        <x:v>Cost unknown is not free</x:v>
      </x:c>
      <x:c r="C7" s="181" t="str">
        <x:v>Current supplier quote, concentration, quantity, shipping and bottle costs remain open until sourced.</x:v>
      </x:c>
    </x:row>
    <x:row r="8">
      <x:c r="A8" s="181" t="n">
        <x:v>7</x:v>
      </x:c>
      <x:c r="B8" s="181" t="str">
        <x:v>Physical evidence remains zero</x:v>
      </x:c>
      <x:c r="C8" s="181" t="str">
        <x:v>Hedonic leverage is a hypothesis until coded comparisons, repeated timepoints and real observations exist.</x:v>
      </x:c>
    </x:row>
    <x:row r="9">
      <x:c r="A9" s="181" t="n">
        <x:v>8</x:v>
      </x:c>
      <x:c r="B9" s="181" t="str">
        <x:v>Notes are not molecules</x:v>
      </x:c>
      <x:c r="C9" s="181" t="str">
        <x:v>A desired note never proves that one named molecule is necessary; alternatives and functional builds remain testable.</x:v>
      </x:c>
    </x:row>
    <x:row r="10">
      <x:c r="A10" s="182" t="n">
        <x:v>9</x:v>
      </x:c>
      <x:c r="B10" s="182" t="str">
        <x:v>Planned is not received</x:v>
      </x:c>
      <x:c r="C10" s="182" t="str">
        <x:v>Ambrettolide is design-available by user instruction but physical batches remain procurement-pending.</x:v>
      </x:c>
    </x:row>
  </x:sheetData>
  <x:pageMargins left="0.7" right="0.7" top="0.75" bottom="0.75" header="0.3" footer="0.3"/>
  <x:tableParts count="1">
    <x:tablePart xmlns:r="http://schemas.openxmlformats.org/officeDocument/2006/relationships" r:id="R6f23d324e50f46c0"/>
  </x:tableParts>
</x:worksheet>
</file>